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  <sheet name="Rates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Payroll build</author>
  </authors>
  <commentList>
    <comment ref="B17" authorId="0">
      <text>
        <r>
          <rPr>
            <sz val="10"/>
            <rFont val="Arial"/>
            <family val="2"/>
          </rPr>
          <t xml:space="preserve">Foreign worker (per May sheet). SOCSO Employment-Injury applies to foreign workers; EPF 2% mandatory from Oct 2025 — toggle 'Apply' columns to Y if needed.</t>
        </r>
      </text>
    </comment>
    <comment ref="I6" authorId="0">
      <text>
        <r>
          <rPr>
            <sz val="10"/>
            <rFont val="Arial"/>
            <family val="2"/>
          </rPr>
          <t xml:space="preserve">Basic cell was whited-out in the June image — verify amount / whether paid.</t>
        </r>
      </text>
    </comment>
    <comment ref="I8" authorId="0">
      <text>
        <r>
          <rPr>
            <sz val="10"/>
            <rFont val="Arial"/>
            <family val="2"/>
          </rPr>
          <t xml:space="preserve">Basic cell was whited-out in the June image — verify amount / whether paid.</t>
        </r>
      </text>
    </comment>
    <comment ref="I9" authorId="0">
      <text>
        <r>
          <rPr>
            <sz val="10"/>
            <rFont val="Arial"/>
            <family val="2"/>
          </rPr>
          <t xml:space="preserve">Basic whited-out in image — verify.</t>
        </r>
      </text>
    </comment>
    <comment ref="I11" authorId="0">
      <text>
        <r>
          <rPr>
            <sz val="10"/>
            <rFont val="Arial"/>
            <family val="2"/>
          </rPr>
          <t xml:space="preserve">Basic cell was whited-out in the June image — verify amount / whether paid.</t>
        </r>
      </text>
    </comment>
    <comment ref="I17" authorId="0">
      <text>
        <r>
          <rPr>
            <sz val="10"/>
            <rFont val="Arial"/>
            <family val="2"/>
          </rPr>
          <t xml:space="preserve">Image shows 2300 — confirm monthly wage / any unpaid days.</t>
        </r>
      </text>
    </comment>
    <comment ref="J5" authorId="0">
      <text>
        <r>
          <rPr>
            <sz val="10"/>
            <rFont val="Arial"/>
            <family val="2"/>
          </rPr>
          <t xml:space="preserve">Image shows a petrol tick (no amount) — enter RM if applicable.</t>
        </r>
      </text>
    </comment>
    <comment ref="J12" authorId="0">
      <text>
        <r>
          <rPr>
            <sz val="10"/>
            <rFont val="Arial"/>
            <family val="2"/>
          </rPr>
          <t xml:space="preserve">Image shows a petrol tick — enter RM if applicable.</t>
        </r>
      </text>
    </comment>
    <comment ref="P7" authorId="0">
      <text>
        <r>
          <rPr>
            <sz val="10"/>
            <rFont val="Arial"/>
            <family val="2"/>
          </rPr>
          <t xml:space="preserve">Image note '+200 for OT' — enter OT hours (rate 15) or use PCB/OT as needed.</t>
        </r>
      </text>
    </comment>
    <comment ref="P9" authorId="0">
      <text>
        <r>
          <rPr>
            <sz val="10"/>
            <rFont val="Arial"/>
            <family val="2"/>
          </rPr>
          <t xml:space="preserve">Image shows OT 25.5 x 15 = 382.50 near this row — confirm it is this employee.</t>
        </r>
      </text>
    </comment>
    <comment ref="P10" authorId="0">
      <text>
        <r>
          <rPr>
            <sz val="10"/>
            <rFont val="Arial"/>
            <family val="2"/>
          </rPr>
          <t xml:space="preserve">Image shows OT 22.5 x 15 = 337.50 near this row — confirm it is this employee.</t>
        </r>
      </text>
    </comment>
    <comment ref="P13" authorId="0">
      <text>
        <r>
          <rPr>
            <sz val="10"/>
            <rFont val="Arial"/>
            <family val="2"/>
          </rPr>
          <t xml:space="preserve">Part-timer paid hours x RM8 — enter June hours from image.</t>
        </r>
      </text>
    </comment>
    <comment ref="P14" authorId="0">
      <text>
        <r>
          <rPr>
            <sz val="10"/>
            <rFont val="Arial"/>
            <family val="2"/>
          </rPr>
          <t xml:space="preserve">Part-timer paid hours x RM8 — enter June hours from image.</t>
        </r>
      </text>
    </comment>
  </commentList>
</comments>
</file>

<file path=xl/sharedStrings.xml><?xml version="1.0" encoding="utf-8"?>
<sst xmlns="http://schemas.openxmlformats.org/spreadsheetml/2006/main" count="311" uniqueCount="230">
  <si>
    <t xml:space="preserve">MONTHLY PAYROLL — MALAYSIA</t>
  </si>
  <si>
    <t xml:space="preserve">Pay month:</t>
  </si>
  <si>
    <t xml:space="preserve">June 2026</t>
  </si>
  <si>
    <t xml:space="preserve">Statutory contributions auto-calculated from the 'Rates' sheet.</t>
  </si>
  <si>
    <t xml:space="preserve">LEGEND:   blue = you type it (inputs)      black = auto-formula      green = pulled from Rates sheet      yellow = VERIFY against image</t>
  </si>
  <si>
    <t xml:space="preserve">EMP_ID</t>
  </si>
  <si>
    <t xml:space="preserve">Name</t>
  </si>
  <si>
    <t xml:space="preserve">Bank Name</t>
  </si>
  <si>
    <t xml:space="preserve">Bank Acct No</t>
  </si>
  <si>
    <t xml:space="preserve">Type</t>
  </si>
  <si>
    <t xml:space="preserve">Age
&gt;= 60?</t>
  </si>
  <si>
    <t xml:space="preserve">Apply
EPF?</t>
  </si>
  <si>
    <t xml:space="preserve">Apply
SOCSO
+EIS?</t>
  </si>
  <si>
    <t xml:space="preserve">Basic</t>
  </si>
  <si>
    <t xml:space="preserve">Petrol
Allow</t>
  </si>
  <si>
    <t xml:space="preserve">Incentive</t>
  </si>
  <si>
    <t xml:space="preserve">Dishwash
Incentive</t>
  </si>
  <si>
    <t xml:space="preserve">Other
Allow</t>
  </si>
  <si>
    <t xml:space="preserve">Work
Days</t>
  </si>
  <si>
    <t xml:space="preserve">Unpaid
Days</t>
  </si>
  <si>
    <t xml:space="preserve">OT
Hours</t>
  </si>
  <si>
    <t xml:space="preserve">OT
Rate</t>
  </si>
  <si>
    <t xml:space="preserve">Other
Deduct</t>
  </si>
  <si>
    <t xml:space="preserve">Extra PCB
Relief/yr</t>
  </si>
  <si>
    <t xml:space="preserve">PCB
Override</t>
  </si>
  <si>
    <t xml:space="preserve">Prorated
Basic</t>
  </si>
  <si>
    <t xml:space="preserve">Gross
(EPF wage)</t>
  </si>
  <si>
    <t xml:space="preserve">OT Pay</t>
  </si>
  <si>
    <t xml:space="preserve">Total
Remun.</t>
  </si>
  <si>
    <t xml:space="preserve">EPF
Employee</t>
  </si>
  <si>
    <t xml:space="preserve">EPF
Employer</t>
  </si>
  <si>
    <t xml:space="preserve">SOCSO
Employee</t>
  </si>
  <si>
    <t xml:space="preserve">SOCSO
Employer</t>
  </si>
  <si>
    <t xml:space="preserve">EIS
Employee</t>
  </si>
  <si>
    <t xml:space="preserve">EIS
Employer</t>
  </si>
  <si>
    <t xml:space="preserve">Charge.
Income/yr</t>
  </si>
  <si>
    <t xml:space="preserve">PCB
Estimate</t>
  </si>
  <si>
    <t xml:space="preserve">PCB
Applied</t>
  </si>
  <si>
    <t xml:space="preserve">Total EE
Deduct</t>
  </si>
  <si>
    <t xml:space="preserve">NET SALARY
(take-home)</t>
  </si>
  <si>
    <t xml:space="preserve">Employer
Statutory</t>
  </si>
  <si>
    <t xml:space="preserve">EMPLOYER
TOTAL COST</t>
  </si>
  <si>
    <t xml:space="preserve">ON00010</t>
  </si>
  <si>
    <t xml:space="preserve">cheong fong cheng</t>
  </si>
  <si>
    <t xml:space="preserve">Cimb</t>
  </si>
  <si>
    <t xml:space="preserve">7000986177</t>
  </si>
  <si>
    <t xml:space="preserve">Permanent</t>
  </si>
  <si>
    <t xml:space="preserve">N</t>
  </si>
  <si>
    <t xml:space="preserve">Y</t>
  </si>
  <si>
    <t xml:space="preserve">ON00011</t>
  </si>
  <si>
    <t xml:space="preserve">mohd shah putra danial</t>
  </si>
  <si>
    <t xml:space="preserve">Maybank</t>
  </si>
  <si>
    <t xml:space="preserve">112205095227</t>
  </si>
  <si>
    <t xml:space="preserve">ON00012</t>
  </si>
  <si>
    <t xml:space="preserve">mohd hafizal bin azahar</t>
  </si>
  <si>
    <t xml:space="preserve">Public Bank</t>
  </si>
  <si>
    <t xml:space="preserve">4798247316</t>
  </si>
  <si>
    <t xml:space="preserve">ON00013</t>
  </si>
  <si>
    <t xml:space="preserve">Nur Azaharina Binti Azahar</t>
  </si>
  <si>
    <t xml:space="preserve">Bank Muamalat</t>
  </si>
  <si>
    <t xml:space="preserve">3060002590765</t>
  </si>
  <si>
    <t xml:space="preserve">ON00015</t>
  </si>
  <si>
    <t xml:space="preserve">Chin Ching Hua</t>
  </si>
  <si>
    <t xml:space="preserve">5016571402</t>
  </si>
  <si>
    <t xml:space="preserve">ON00022</t>
  </si>
  <si>
    <t xml:space="preserve">Mohd Aminludin Bin Yahya</t>
  </si>
  <si>
    <t xml:space="preserve">164061840677</t>
  </si>
  <si>
    <t xml:space="preserve">ON00023</t>
  </si>
  <si>
    <t xml:space="preserve">Nur Alya Adriana</t>
  </si>
  <si>
    <t xml:space="preserve">564593318369</t>
  </si>
  <si>
    <t xml:space="preserve">ON00028</t>
  </si>
  <si>
    <t xml:space="preserve">Tan Kui Thean</t>
  </si>
  <si>
    <t xml:space="preserve">164061854800</t>
  </si>
  <si>
    <t xml:space="preserve">ON00030</t>
  </si>
  <si>
    <t xml:space="preserve">HOU CHING</t>
  </si>
  <si>
    <t xml:space="preserve">5102691912</t>
  </si>
  <si>
    <t xml:space="preserve">Part-time</t>
  </si>
  <si>
    <t xml:space="preserve">ON00031</t>
  </si>
  <si>
    <t xml:space="preserve">Aron cheng Eng</t>
  </si>
  <si>
    <t xml:space="preserve">7657001861</t>
  </si>
  <si>
    <t xml:space="preserve">Liew Chen Hao</t>
  </si>
  <si>
    <t xml:space="preserve">Tai Jun Xi</t>
  </si>
  <si>
    <t xml:space="preserve">Cash</t>
  </si>
  <si>
    <t xml:space="preserve">ON00055</t>
  </si>
  <si>
    <t xml:space="preserve">Nay Lin Zaw</t>
  </si>
  <si>
    <t xml:space="preserve">Merchantrade</t>
  </si>
  <si>
    <t xml:space="preserve">500001618970</t>
  </si>
  <si>
    <t xml:space="preserve">Ong Peir Ann</t>
  </si>
  <si>
    <t xml:space="preserve">5097798113</t>
  </si>
  <si>
    <t xml:space="preserve">Thulasi Raj</t>
  </si>
  <si>
    <t xml:space="preserve">7651498174</t>
  </si>
  <si>
    <t xml:space="preserve">Shannen Marie Gomez</t>
  </si>
  <si>
    <t xml:space="preserve">Soh Jia Mon</t>
  </si>
  <si>
    <t xml:space="preserve">5089470408</t>
  </si>
  <si>
    <t xml:space="preserve">Chee Wei Hong</t>
  </si>
  <si>
    <t xml:space="preserve">TOTALS</t>
  </si>
  <si>
    <t xml:space="preserve">STATUTORY RATES &amp; CONTRIBUTION TABLES — MALAYSIA</t>
  </si>
  <si>
    <t xml:space="preserve">Effective rates: EPF (KWSP), SOCSO/EIS (PERKESO) ceiling RM6,000 from 1 Oct 2024, PCB brackets YA2024/2025. Edit the yellow parameter cells if rates change.</t>
  </si>
  <si>
    <t xml:space="preserve">PARAMETER</t>
  </si>
  <si>
    <t xml:space="preserve">VALUE</t>
  </si>
  <si>
    <t xml:space="preserve">NOTES</t>
  </si>
  <si>
    <t xml:space="preserve">EPF employee rate</t>
  </si>
  <si>
    <t xml:space="preserve">Malaysian/PR under 60</t>
  </si>
  <si>
    <t xml:space="preserve">EPF employer rate (wage &lt;= threshold)</t>
  </si>
  <si>
    <t xml:space="preserve">13% for wages up to RM5,000</t>
  </si>
  <si>
    <t xml:space="preserve">EPF employer rate (wage &gt; threshold)</t>
  </si>
  <si>
    <t xml:space="preserve">12% for wages above RM5,000</t>
  </si>
  <si>
    <t xml:space="preserve">EPF employer threshold (RM)</t>
  </si>
  <si>
    <t xml:space="preserve">Total monthly remuneration test</t>
  </si>
  <si>
    <t xml:space="preserve">SOCSO / EIS wage ceiling (RM)</t>
  </si>
  <si>
    <t xml:space="preserve">Contribution capped at this wage</t>
  </si>
  <si>
    <t xml:space="preserve">SOCSO Cat 1 employee %</t>
  </si>
  <si>
    <t xml:space="preserve">Injury + Invalidity (age &lt; 60)</t>
  </si>
  <si>
    <t xml:space="preserve">SOCSO Cat 1 employer %</t>
  </si>
  <si>
    <t xml:space="preserve">SOCSO Cat 2 employer %</t>
  </si>
  <si>
    <t xml:space="preserve">Injury only (age &gt;= 60)</t>
  </si>
  <si>
    <t xml:space="preserve">EIS rate (each side) %</t>
  </si>
  <si>
    <t xml:space="preserve">Employer &amp; employee, age 18-60</t>
  </si>
  <si>
    <t xml:space="preserve">PCB personal relief (RM/yr)</t>
  </si>
  <si>
    <t xml:space="preserve">Self</t>
  </si>
  <si>
    <t xml:space="preserve">PCB EPF+life relief cap (RM/yr)</t>
  </si>
  <si>
    <t xml:space="preserve">EPF portion of the RM7,000 cap</t>
  </si>
  <si>
    <t xml:space="preserve">PCB rebate if chargeable &lt;= RM35,000</t>
  </si>
  <si>
    <t xml:space="preserve">Section 6A individual rebate</t>
  </si>
  <si>
    <t xml:space="preserve">Default working days / month</t>
  </si>
  <si>
    <t xml:space="preserve">Used for unpaid-leave proration</t>
  </si>
  <si>
    <t xml:space="preserve">RESIDENT INCOME-TAX BRACKETS (YA2024/2025) — used for PCB estimate</t>
  </si>
  <si>
    <t xml:space="preserve">Chargeable from (RM)</t>
  </si>
  <si>
    <t xml:space="preserve">Marginal rate</t>
  </si>
  <si>
    <t xml:space="preserve">Cumulative tax at 'from' (RM)</t>
  </si>
  <si>
    <t xml:space="preserve">SOCSO (PERKESO) + EIS CONTRIBUTION TABLE — RM100 bands, ceiling RM6,000</t>
  </si>
  <si>
    <t xml:space="preserve">Key (&gt;=)</t>
  </si>
  <si>
    <t xml:space="preserve">Wage band (RM)</t>
  </si>
  <si>
    <t xml:space="preserve">Lower</t>
  </si>
  <si>
    <t xml:space="preserve">Upper</t>
  </si>
  <si>
    <t xml:space="preserve">Assumed wage</t>
  </si>
  <si>
    <t xml:space="preserve">SOCSO C1 employee</t>
  </si>
  <si>
    <t xml:space="preserve">SOCSO C1 employer</t>
  </si>
  <si>
    <t xml:space="preserve">SOCSO C2 employer</t>
  </si>
  <si>
    <t xml:space="preserve">EIS (each)</t>
  </si>
  <si>
    <t xml:space="preserve">0.01 - 30.00</t>
  </si>
  <si>
    <t xml:space="preserve">30.01 - 50.00</t>
  </si>
  <si>
    <t xml:space="preserve">50.01 - 70.00</t>
  </si>
  <si>
    <t xml:space="preserve">70.01 - 100.00</t>
  </si>
  <si>
    <t xml:space="preserve">100.01 - 200.00</t>
  </si>
  <si>
    <t xml:space="preserve">200.01 - 300.00</t>
  </si>
  <si>
    <t xml:space="preserve">300.01 - 400.00</t>
  </si>
  <si>
    <t xml:space="preserve">400.01 - 500.00</t>
  </si>
  <si>
    <t xml:space="preserve">500.01 - 600.00</t>
  </si>
  <si>
    <t xml:space="preserve">600.01 - 700.00</t>
  </si>
  <si>
    <t xml:space="preserve">700.01 - 800.00</t>
  </si>
  <si>
    <t xml:space="preserve">800.01 - 900.00</t>
  </si>
  <si>
    <t xml:space="preserve">900.01 - 1,000.00</t>
  </si>
  <si>
    <t xml:space="preserve">1,000.01 - 1,100.00</t>
  </si>
  <si>
    <t xml:space="preserve">1,100.01 - 1,200.00</t>
  </si>
  <si>
    <t xml:space="preserve">1,200.01 - 1,300.00</t>
  </si>
  <si>
    <t xml:space="preserve">1,300.01 - 1,400.00</t>
  </si>
  <si>
    <t xml:space="preserve">1,400.01 - 1,500.00</t>
  </si>
  <si>
    <t xml:space="preserve">1,500.01 - 1,600.00</t>
  </si>
  <si>
    <t xml:space="preserve">1,600.01 - 1,700.00</t>
  </si>
  <si>
    <t xml:space="preserve">1,700.01 - 1,800.00</t>
  </si>
  <si>
    <t xml:space="preserve">1,800.01 - 1,900.00</t>
  </si>
  <si>
    <t xml:space="preserve">1,900.01 - 2,000.00</t>
  </si>
  <si>
    <t xml:space="preserve">2,000.01 - 2,100.00</t>
  </si>
  <si>
    <t xml:space="preserve">2,100.01 - 2,200.00</t>
  </si>
  <si>
    <t xml:space="preserve">2,200.01 - 2,300.00</t>
  </si>
  <si>
    <t xml:space="preserve">2,300.01 - 2,400.00</t>
  </si>
  <si>
    <t xml:space="preserve">2,400.01 - 2,500.00</t>
  </si>
  <si>
    <t xml:space="preserve">2,500.01 - 2,600.00</t>
  </si>
  <si>
    <t xml:space="preserve">2,600.01 - 2,700.00</t>
  </si>
  <si>
    <t xml:space="preserve">2,700.01 - 2,800.00</t>
  </si>
  <si>
    <t xml:space="preserve">2,800.01 - 2,900.00</t>
  </si>
  <si>
    <t xml:space="preserve">2,900.01 - 3,000.00</t>
  </si>
  <si>
    <t xml:space="preserve">3,000.01 - 3,100.00</t>
  </si>
  <si>
    <t xml:space="preserve">3,100.01 - 3,200.00</t>
  </si>
  <si>
    <t xml:space="preserve">3,200.01 - 3,300.00</t>
  </si>
  <si>
    <t xml:space="preserve">3,300.01 - 3,400.00</t>
  </si>
  <si>
    <t xml:space="preserve">3,400.01 - 3,500.00</t>
  </si>
  <si>
    <t xml:space="preserve">3,500.01 - 3,600.00</t>
  </si>
  <si>
    <t xml:space="preserve">3,600.01 - 3,700.00</t>
  </si>
  <si>
    <t xml:space="preserve">3,700.01 - 3,800.00</t>
  </si>
  <si>
    <t xml:space="preserve">3,800.01 - 3,900.00</t>
  </si>
  <si>
    <t xml:space="preserve">3,900.01 - 4,000.00</t>
  </si>
  <si>
    <t xml:space="preserve">4,000.01 - 4,100.00</t>
  </si>
  <si>
    <t xml:space="preserve">4,100.01 - 4,200.00</t>
  </si>
  <si>
    <t xml:space="preserve">4,200.01 - 4,300.00</t>
  </si>
  <si>
    <t xml:space="preserve">4,300.01 - 4,400.00</t>
  </si>
  <si>
    <t xml:space="preserve">4,400.01 - 4,500.00</t>
  </si>
  <si>
    <t xml:space="preserve">4,500.01 - 4,600.00</t>
  </si>
  <si>
    <t xml:space="preserve">4,600.01 - 4,700.00</t>
  </si>
  <si>
    <t xml:space="preserve">4,700.01 - 4,800.00</t>
  </si>
  <si>
    <t xml:space="preserve">4,800.01 - 4,900.00</t>
  </si>
  <si>
    <t xml:space="preserve">4,900.01 - 5,000.00</t>
  </si>
  <si>
    <t xml:space="preserve">5,000.01 - 5,100.00</t>
  </si>
  <si>
    <t xml:space="preserve">5,100.01 - 5,200.00</t>
  </si>
  <si>
    <t xml:space="preserve">5,200.01 - 5,300.00</t>
  </si>
  <si>
    <t xml:space="preserve">5,300.01 - 5,400.00</t>
  </si>
  <si>
    <t xml:space="preserve">5,400.01 - 5,500.00</t>
  </si>
  <si>
    <t xml:space="preserve">5,500.01 - 5,600.00</t>
  </si>
  <si>
    <t xml:space="preserve">5,600.01 - 5,700.00</t>
  </si>
  <si>
    <t xml:space="preserve">5,700.01 - 5,800.00</t>
  </si>
  <si>
    <t xml:space="preserve">5,800.01 - 5,900.00</t>
  </si>
  <si>
    <t xml:space="preserve">5,900.01 - 6,000.00</t>
  </si>
  <si>
    <t xml:space="preserve">6,000.01 and above</t>
  </si>
  <si>
    <t xml:space="preserve">MONTHLY PAYROLL WORKBOOK — HOW TO USE</t>
  </si>
  <si>
    <t xml:space="preserve">This workbook turns your monthly payroll image into a calculated payslip run. You only type the blue cells; EPF (KWSP), SOCSO, EIS and PCB are derived automatically.</t>
  </si>
  <si>
    <t xml:space="preserve">EACH MONTH — 4 STEPS</t>
  </si>
  <si>
    <t xml:space="preserve">1.  Update 'Pay month' (Payroll!B2) and enter each employee's inputs from the image: Basic, Petrol/Incentive/Dishwash/Other allowances, Work Days, Unpaid Days, OT Hours and OT Rate.</t>
  </si>
  <si>
    <t xml:space="preserve">2.  Set the three switches per person:  Type (Permanent/Part-time/Foreign), 'Apply EPF?' and 'Apply SOCSO+EIS?' (Y/N), and 'Age &gt;= 60?' for the SOCSO category.</t>
  </si>
  <si>
    <t xml:space="preserve">3.  Yellow cells are best-effort reads from this month's image — open the image and confirm each one.</t>
  </si>
  <si>
    <t xml:space="preserve">4.  Read the results:  NET SALARY (take-home) per employee, and EMPLOYER TOTAL COST (gross + employer statutory). The TOTALS row foots every money column.</t>
  </si>
  <si>
    <t xml:space="preserve">HOW EACH CONTRIBUTION IS DERIVED</t>
  </si>
  <si>
    <t xml:space="preserve">EPF / KWSP  — Employee = 11% of EPF wage (rounded up to the next RM). Employer = 13% if total remuneration &lt;= RM5,000, else 12%. Rates live on the 'Rates' sheet.</t>
  </si>
  <si>
    <t xml:space="preserve">SOCSO / PERKESO — read from the official RM100-band table (ceiling RM6,000). Category 1 (age &lt; 60): employee 0.5% + employer 1.75% of the band midpoint. Category 2 (age &gt;= 60): employer 1.25% only, employee 0.</t>
  </si>
  <si>
    <t xml:space="preserve">EIS — 0.2% each side from the same band table (ceiling RM6,000); not applied at age &gt;= 60.</t>
  </si>
  <si>
    <t xml:space="preserve">PCB (income tax, MTD) — an ESTIMATE only: annualised chargeable income (EPF wage x 12 less personal relief RM9,000, EPF relief up to RM4,000, and any 'Extra PCB Relief/yr' you enter for spouse/children) taxed on YA2024/25 resident brackets, less the RM400 rebate, divided by 12. For the exact figure use LHDN e-PCB / e-Jadual PCB and type it into the 'PCB Override' column — the override always wins.</t>
  </si>
  <si>
    <t xml:space="preserve">WAGE DEFINITIONS (match the previous May workbook)</t>
  </si>
  <si>
    <t xml:space="preserve">Gross (EPF wage) = prorated Basic + Petrol + Incentive + Dishwash + Other allowances. Overtime is NOT part of the EPF wage.</t>
  </si>
  <si>
    <t xml:space="preserve">Prorated Basic = Basic - Unpaid Days x (Basic / Work Days).  Default Work Days = 26.</t>
  </si>
  <si>
    <t xml:space="preserve">SOCSO/EIS use the same Gross wage, capped at the RM6,000 ceiling.</t>
  </si>
  <si>
    <t xml:space="preserve">Note: petrol/travel allowance is technically EPF/SOCSO-exempt; it is included here to match your existing sheet. Move it to a non-statutory column if you want it excluded.</t>
  </si>
  <si>
    <t xml:space="preserve">PART-TIME / HOURLY STAFF</t>
  </si>
  <si>
    <t xml:space="preserve">For hourly staff, leave Basic = 0, put hours in 'OT Hours' and the hourly rate in 'OT Rate'; pay = hours x rate. 'Apply EPF?' and 'Apply SOCSO+EIS?' are defaulted to N — set to Y if they are covered.</t>
  </si>
  <si>
    <t xml:space="preserve">Foreign workers (e.g. Nay Lin Zaw): SOCSO Employment-Injury applies, and EPF becomes mandatory at 2% from Oct 2025. Switch the 'Apply' columns to Y and adjust rates on the 'Rates' sheet as needed.</t>
  </si>
  <si>
    <t xml:space="preserve">COLOUR KEY</t>
  </si>
  <si>
    <t xml:space="preserve">Blue = you type it     Black = auto-formula     Green = pulled from Rates sheet     Yellow = verify against the image</t>
  </si>
  <si>
    <t xml:space="preserve">SOURCES</t>
  </si>
  <si>
    <t xml:space="preserve">PERKESO rate of contribution (SOCSO/EIS): https://www.perkeso.gov.my/en/rate-of-contribution.html</t>
  </si>
  <si>
    <t xml:space="preserve">KWSP/EPF Third Schedule: https://www.kwsp.gov.my/en/employer/responsibilities/mandatory-contribution</t>
  </si>
  <si>
    <t xml:space="preserve">LHDN individual tax rates (YA2024/2025): https://www.hasil.gov.my/en/individual/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</si>
</sst>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;\(#,##0.00\);\-"/>
    <numFmt numFmtId="166" formatCode="0"/>
    <numFmt numFmtId="167" formatCode="0.0"/>
    <numFmt numFmtId="168" formatCode="0.00"/>
    <numFmt numFmtId="169" formatCode="#,##0;\(#,##0\);\-"/>
    <numFmt numFmtId="170" formatCode="0.00%"/>
    <numFmt numFmtId="171" formatCode="0.000%"/>
    <numFmt numFmtId="172" formatCode="0%"/>
    <numFmt numFmtId="173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1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7" min="6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3" min="13" style="0" width="8"/>
    <col collapsed="false" customWidth="true" hidden="false" outlineLevel="0" max="17" min="14" style="0" width="6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8" min="25" style="0" width="9"/>
    <col collapsed="false" customWidth="true" hidden="false" outlineLevel="0" max="30" min="29" style="0" width="8"/>
    <col collapsed="false" customWidth="true" hidden="false" outlineLevel="0" max="31" min="31" style="0" width="10"/>
    <col collapsed="false" customWidth="true" hidden="false" outlineLevel="0" max="34" min="32" style="0" width="9"/>
    <col collapsed="false" customWidth="true" hidden="false" outlineLevel="0" max="35" min="35" style="0" width="12"/>
    <col collapsed="false" customWidth="true" hidden="false" outlineLevel="0" max="36" min="36" style="0" width="10"/>
    <col collapsed="false" customWidth="true" hidden="false" outlineLevel="0" max="37" min="37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15" hidden="false" customHeight="false" outlineLevel="0" collapsed="false">
      <c r="A2" s="3" t="s">
        <v>1</v>
      </c>
      <c r="B2" s="4" t="s">
        <v>2</v>
      </c>
      <c r="D2" s="5" t="s">
        <v>3</v>
      </c>
    </row>
    <row r="3" customFormat="false" ht="15" hidden="false" customHeight="false" outlineLevel="0" collapsed="false">
      <c r="A3" s="6" t="s">
        <v>4</v>
      </c>
    </row>
    <row r="4" customFormat="false" ht="42" hidden="false" customHeight="true" outlineLevel="0" collapsed="false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8" t="s">
        <v>21</v>
      </c>
      <c r="R4" s="8" t="s">
        <v>22</v>
      </c>
      <c r="S4" s="8" t="s">
        <v>23</v>
      </c>
      <c r="T4" s="8" t="s">
        <v>24</v>
      </c>
      <c r="U4" s="9" t="s">
        <v>25</v>
      </c>
      <c r="V4" s="9" t="s">
        <v>26</v>
      </c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 t="s">
        <v>34</v>
      </c>
      <c r="AE4" s="9" t="s">
        <v>35</v>
      </c>
      <c r="AF4" s="9" t="s">
        <v>36</v>
      </c>
      <c r="AG4" s="9" t="s">
        <v>37</v>
      </c>
      <c r="AH4" s="9" t="s">
        <v>38</v>
      </c>
      <c r="AI4" s="9" t="s">
        <v>39</v>
      </c>
      <c r="AJ4" s="9" t="s">
        <v>40</v>
      </c>
      <c r="AK4" s="9" t="s">
        <v>41</v>
      </c>
    </row>
    <row r="5" customFormat="false" ht="15" hidden="false" customHeight="false" outlineLevel="0" collapsed="false">
      <c r="A5" s="10" t="s">
        <v>42</v>
      </c>
      <c r="B5" s="11" t="s">
        <v>43</v>
      </c>
      <c r="C5" s="11" t="s">
        <v>44</v>
      </c>
      <c r="D5" s="10" t="s">
        <v>45</v>
      </c>
      <c r="E5" s="12" t="s">
        <v>46</v>
      </c>
      <c r="F5" s="12" t="s">
        <v>47</v>
      </c>
      <c r="G5" s="12" t="s">
        <v>48</v>
      </c>
      <c r="H5" s="12" t="s">
        <v>48</v>
      </c>
      <c r="I5" s="13" t="n">
        <v>5000</v>
      </c>
      <c r="J5" s="14" t="n">
        <v>0</v>
      </c>
      <c r="K5" s="13" t="n">
        <v>0</v>
      </c>
      <c r="L5" s="13" t="n">
        <v>0</v>
      </c>
      <c r="M5" s="13" t="n">
        <v>0</v>
      </c>
      <c r="N5" s="15" t="n">
        <v>26</v>
      </c>
      <c r="O5" s="16" t="n">
        <v>0</v>
      </c>
      <c r="P5" s="17" t="n">
        <v>0</v>
      </c>
      <c r="Q5" s="13" t="n">
        <v>0</v>
      </c>
      <c r="R5" s="13" t="n">
        <v>0</v>
      </c>
      <c r="S5" s="18" t="n">
        <v>0</v>
      </c>
      <c r="T5" s="13"/>
      <c r="U5" s="19" t="n">
        <f aca="false">IF(N5=0,I5,I5-O5*(I5/N5))</f>
        <v>5000</v>
      </c>
      <c r="V5" s="19" t="n">
        <f aca="false">U5+J5+K5+L5+M5</f>
        <v>5000</v>
      </c>
      <c r="W5" s="19" t="n">
        <f aca="false">P5*Q5</f>
        <v>0</v>
      </c>
      <c r="X5" s="19" t="n">
        <f aca="false">V5+W5</f>
        <v>5000</v>
      </c>
      <c r="Y5" s="20" t="n">
        <f aca="false">IF(G5="Y",ROUNDUP(V5*Rates!$B$5,0),0)</f>
        <v>550</v>
      </c>
      <c r="Z5" s="20" t="n">
        <f aca="false">IF(G5="Y",ROUNDUP(V5*IF(X5&gt;Rates!$B$8,Rates!$B$7,Rates!$B$6),0),0)</f>
        <v>650</v>
      </c>
      <c r="AA5" s="20" t="n">
        <f aca="false">IF(H5="Y",IF(F5="Y",0,VLOOKUP(MIN(V5,Rates!$B$9),Rates!$A$34:$I$97,6,TRUE())),0)</f>
        <v>24.75</v>
      </c>
      <c r="AB5" s="20" t="n">
        <f aca="false">IF(H5="Y",IF(F5="Y",VLOOKUP(MIN(V5,Rates!$B$9),Rates!$A$34:$I$97,8,TRUE()),VLOOKUP(MIN(V5,Rates!$B$9),Rates!$A$34:$I$97,7,TRUE())),0)</f>
        <v>86.65</v>
      </c>
      <c r="AC5" s="20" t="n">
        <f aca="false">IF(AND(H5="Y",F5&lt;&gt;"Y"),VLOOKUP(MIN(V5,Rates!$B$9),Rates!$A$34:$I$97,9,TRUE()),0)</f>
        <v>9.9</v>
      </c>
      <c r="AD5" s="20" t="n">
        <f aca="false">IF(AND(H5="Y",F5&lt;&gt;"Y"),VLOOKUP(MIN(V5,Rates!$B$9),Rates!$A$34:$I$97,9,TRUE()),0)</f>
        <v>9.9</v>
      </c>
      <c r="AE5" s="21" t="n">
        <f aca="false">MAX(0,V5*12-Rates!$B$14-MIN(Y5*12,Rates!$B$15)-S5)</f>
        <v>47000</v>
      </c>
      <c r="AF5" s="20" t="n">
        <f aca="false">MAX(0,MROUND((VLOOKUP(AE5,Rates!$A$21:$C$30,3,TRUE())+(AE5-VLOOKUP(AE5,Rates!$A$21:$C$30,1,TRUE()))*VLOOKUP(AE5,Rates!$A$21:$C$30,2,TRUE())-IF(AE5&lt;=35000,Rates!$B$16,0))/12,0.05))</f>
        <v>110</v>
      </c>
      <c r="AG5" s="19" t="n">
        <f aca="false">IF(T5="",AF5,T5)</f>
        <v>110</v>
      </c>
      <c r="AH5" s="19" t="n">
        <f aca="false">Y5+AA5+AC5+AG5+R5</f>
        <v>694.65</v>
      </c>
      <c r="AI5" s="22" t="n">
        <f aca="false">X5-AH5</f>
        <v>4305.35</v>
      </c>
      <c r="AJ5" s="19" t="n">
        <f aca="false">Z5+AB5+AD5</f>
        <v>746.55</v>
      </c>
      <c r="AK5" s="19" t="n">
        <f aca="false">X5+AJ5</f>
        <v>5746.55</v>
      </c>
    </row>
    <row r="6" customFormat="false" ht="15" hidden="false" customHeight="false" outlineLevel="0" collapsed="false">
      <c r="A6" s="10" t="s">
        <v>49</v>
      </c>
      <c r="B6" s="11" t="s">
        <v>50</v>
      </c>
      <c r="C6" s="11" t="s">
        <v>51</v>
      </c>
      <c r="D6" s="10" t="s">
        <v>52</v>
      </c>
      <c r="E6" s="12" t="s">
        <v>46</v>
      </c>
      <c r="F6" s="12" t="s">
        <v>47</v>
      </c>
      <c r="G6" s="12" t="s">
        <v>48</v>
      </c>
      <c r="H6" s="12" t="s">
        <v>48</v>
      </c>
      <c r="I6" s="14" t="n">
        <v>3200</v>
      </c>
      <c r="J6" s="13" t="n">
        <v>0</v>
      </c>
      <c r="K6" s="13" t="n">
        <v>0</v>
      </c>
      <c r="L6" s="13" t="n">
        <v>0</v>
      </c>
      <c r="M6" s="13" t="n">
        <v>0</v>
      </c>
      <c r="N6" s="15" t="n">
        <v>26</v>
      </c>
      <c r="O6" s="16" t="n">
        <v>0</v>
      </c>
      <c r="P6" s="17" t="n">
        <v>0</v>
      </c>
      <c r="Q6" s="13" t="n">
        <v>0</v>
      </c>
      <c r="R6" s="13" t="n">
        <v>0</v>
      </c>
      <c r="S6" s="18" t="n">
        <v>0</v>
      </c>
      <c r="T6" s="13"/>
      <c r="U6" s="19" t="n">
        <f aca="false">IF(N6=0,I6,I6-O6*(I6/N6))</f>
        <v>3200</v>
      </c>
      <c r="V6" s="19" t="n">
        <f aca="false">U6+J6+K6+L6+M6</f>
        <v>3200</v>
      </c>
      <c r="W6" s="19" t="n">
        <f aca="false">P6*Q6</f>
        <v>0</v>
      </c>
      <c r="X6" s="19" t="n">
        <f aca="false">V6+W6</f>
        <v>3200</v>
      </c>
      <c r="Y6" s="20" t="n">
        <f aca="false">IF(G6="Y",ROUNDUP(V6*Rates!$B$5,0),0)</f>
        <v>352</v>
      </c>
      <c r="Z6" s="20" t="n">
        <f aca="false">IF(G6="Y",ROUNDUP(V6*IF(X6&gt;Rates!$B$8,Rates!$B$7,Rates!$B$6),0),0)</f>
        <v>416</v>
      </c>
      <c r="AA6" s="20" t="n">
        <f aca="false">IF(H6="Y",IF(F6="Y",0,VLOOKUP(MIN(V6,Rates!$B$9),Rates!$A$34:$I$97,6,TRUE())),0)</f>
        <v>15.75</v>
      </c>
      <c r="AB6" s="20" t="n">
        <f aca="false">IF(H6="Y",IF(F6="Y",VLOOKUP(MIN(V6,Rates!$B$9),Rates!$A$34:$I$97,8,TRUE()),VLOOKUP(MIN(V6,Rates!$B$9),Rates!$A$34:$I$97,7,TRUE())),0)</f>
        <v>55.15</v>
      </c>
      <c r="AC6" s="20" t="n">
        <f aca="false">IF(AND(H6="Y",F6&lt;&gt;"Y"),VLOOKUP(MIN(V6,Rates!$B$9),Rates!$A$34:$I$97,9,TRUE()),0)</f>
        <v>6.3</v>
      </c>
      <c r="AD6" s="20" t="n">
        <f aca="false">IF(AND(H6="Y",F6&lt;&gt;"Y"),VLOOKUP(MIN(V6,Rates!$B$9),Rates!$A$34:$I$97,9,TRUE()),0)</f>
        <v>6.3</v>
      </c>
      <c r="AE6" s="21" t="n">
        <f aca="false">MAX(0,V6*12-Rates!$B$14-MIN(Y6*12,Rates!$B$15)-S6)</f>
        <v>25400</v>
      </c>
      <c r="AF6" s="20" t="n">
        <f aca="false">MAX(0,MROUND((VLOOKUP(AE6,Rates!$A$21:$C$30,3,TRUE())+(AE6-VLOOKUP(AE6,Rates!$A$21:$C$30,1,TRUE()))*VLOOKUP(AE6,Rates!$A$21:$C$30,2,TRUE())-IF(AE6&lt;=35000,Rates!$B$16,0))/12,0.05))</f>
        <v>0</v>
      </c>
      <c r="AG6" s="19" t="n">
        <f aca="false">IF(T6="",AF6,T6)</f>
        <v>0</v>
      </c>
      <c r="AH6" s="19" t="n">
        <f aca="false">Y6+AA6+AC6+AG6+R6</f>
        <v>374.05</v>
      </c>
      <c r="AI6" s="22" t="n">
        <f aca="false">X6-AH6</f>
        <v>2825.95</v>
      </c>
      <c r="AJ6" s="19" t="n">
        <f aca="false">Z6+AB6+AD6</f>
        <v>477.45</v>
      </c>
      <c r="AK6" s="19" t="n">
        <f aca="false">X6+AJ6</f>
        <v>3677.45</v>
      </c>
    </row>
    <row r="7" customFormat="false" ht="15" hidden="false" customHeight="false" outlineLevel="0" collapsed="false">
      <c r="A7" s="10" t="s">
        <v>53</v>
      </c>
      <c r="B7" s="11" t="s">
        <v>54</v>
      </c>
      <c r="C7" s="11" t="s">
        <v>55</v>
      </c>
      <c r="D7" s="10" t="s">
        <v>56</v>
      </c>
      <c r="E7" s="12" t="s">
        <v>46</v>
      </c>
      <c r="F7" s="12" t="s">
        <v>47</v>
      </c>
      <c r="G7" s="12" t="s">
        <v>48</v>
      </c>
      <c r="H7" s="12" t="s">
        <v>48</v>
      </c>
      <c r="I7" s="13" t="n">
        <v>3000</v>
      </c>
      <c r="J7" s="13" t="n">
        <v>0</v>
      </c>
      <c r="K7" s="13" t="n">
        <v>200</v>
      </c>
      <c r="L7" s="13" t="n">
        <v>0</v>
      </c>
      <c r="M7" s="13" t="n">
        <v>0</v>
      </c>
      <c r="N7" s="15" t="n">
        <v>26</v>
      </c>
      <c r="O7" s="16" t="n">
        <v>0</v>
      </c>
      <c r="P7" s="23" t="n">
        <v>0</v>
      </c>
      <c r="Q7" s="13" t="n">
        <v>15</v>
      </c>
      <c r="R7" s="13" t="n">
        <v>0</v>
      </c>
      <c r="S7" s="18" t="n">
        <v>0</v>
      </c>
      <c r="T7" s="13"/>
      <c r="U7" s="19" t="n">
        <f aca="false">IF(N7=0,I7,I7-O7*(I7/N7))</f>
        <v>3000</v>
      </c>
      <c r="V7" s="19" t="n">
        <f aca="false">U7+J7+K7+L7+M7</f>
        <v>3200</v>
      </c>
      <c r="W7" s="19" t="n">
        <f aca="false">P7*Q7</f>
        <v>0</v>
      </c>
      <c r="X7" s="19" t="n">
        <f aca="false">V7+W7</f>
        <v>3200</v>
      </c>
      <c r="Y7" s="20" t="n">
        <f aca="false">IF(G7="Y",ROUNDUP(V7*Rates!$B$5,0),0)</f>
        <v>352</v>
      </c>
      <c r="Z7" s="20" t="n">
        <f aca="false">IF(G7="Y",ROUNDUP(V7*IF(X7&gt;Rates!$B$8,Rates!$B$7,Rates!$B$6),0),0)</f>
        <v>416</v>
      </c>
      <c r="AA7" s="20" t="n">
        <f aca="false">IF(H7="Y",IF(F7="Y",0,VLOOKUP(MIN(V7,Rates!$B$9),Rates!$A$34:$I$97,6,TRUE())),0)</f>
        <v>15.75</v>
      </c>
      <c r="AB7" s="20" t="n">
        <f aca="false">IF(H7="Y",IF(F7="Y",VLOOKUP(MIN(V7,Rates!$B$9),Rates!$A$34:$I$97,8,TRUE()),VLOOKUP(MIN(V7,Rates!$B$9),Rates!$A$34:$I$97,7,TRUE())),0)</f>
        <v>55.15</v>
      </c>
      <c r="AC7" s="20" t="n">
        <f aca="false">IF(AND(H7="Y",F7&lt;&gt;"Y"),VLOOKUP(MIN(V7,Rates!$B$9),Rates!$A$34:$I$97,9,TRUE()),0)</f>
        <v>6.3</v>
      </c>
      <c r="AD7" s="20" t="n">
        <f aca="false">IF(AND(H7="Y",F7&lt;&gt;"Y"),VLOOKUP(MIN(V7,Rates!$B$9),Rates!$A$34:$I$97,9,TRUE()),0)</f>
        <v>6.3</v>
      </c>
      <c r="AE7" s="21" t="n">
        <f aca="false">MAX(0,V7*12-Rates!$B$14-MIN(Y7*12,Rates!$B$15)-S7)</f>
        <v>25400</v>
      </c>
      <c r="AF7" s="20" t="n">
        <f aca="false">MAX(0,MROUND((VLOOKUP(AE7,Rates!$A$21:$C$30,3,TRUE())+(AE7-VLOOKUP(AE7,Rates!$A$21:$C$30,1,TRUE()))*VLOOKUP(AE7,Rates!$A$21:$C$30,2,TRUE())-IF(AE7&lt;=35000,Rates!$B$16,0))/12,0.05))</f>
        <v>0</v>
      </c>
      <c r="AG7" s="19" t="n">
        <f aca="false">IF(T7="",AF7,T7)</f>
        <v>0</v>
      </c>
      <c r="AH7" s="19" t="n">
        <f aca="false">Y7+AA7+AC7+AG7+R7</f>
        <v>374.05</v>
      </c>
      <c r="AI7" s="22" t="n">
        <f aca="false">X7-AH7</f>
        <v>2825.95</v>
      </c>
      <c r="AJ7" s="19" t="n">
        <f aca="false">Z7+AB7+AD7</f>
        <v>477.45</v>
      </c>
      <c r="AK7" s="19" t="n">
        <f aca="false">X7+AJ7</f>
        <v>3677.45</v>
      </c>
    </row>
    <row r="8" customFormat="false" ht="15" hidden="false" customHeight="false" outlineLevel="0" collapsed="false">
      <c r="A8" s="10" t="s">
        <v>57</v>
      </c>
      <c r="B8" s="11" t="s">
        <v>58</v>
      </c>
      <c r="C8" s="11" t="s">
        <v>59</v>
      </c>
      <c r="D8" s="10" t="s">
        <v>60</v>
      </c>
      <c r="E8" s="12" t="s">
        <v>46</v>
      </c>
      <c r="F8" s="12" t="s">
        <v>47</v>
      </c>
      <c r="G8" s="12" t="s">
        <v>48</v>
      </c>
      <c r="H8" s="12" t="s">
        <v>48</v>
      </c>
      <c r="I8" s="14" t="n">
        <v>2200</v>
      </c>
      <c r="J8" s="13" t="n">
        <v>0</v>
      </c>
      <c r="K8" s="13" t="n">
        <v>0</v>
      </c>
      <c r="L8" s="13" t="n">
        <v>0</v>
      </c>
      <c r="M8" s="13" t="n">
        <v>0</v>
      </c>
      <c r="N8" s="15" t="n">
        <v>26</v>
      </c>
      <c r="O8" s="16" t="n">
        <v>0</v>
      </c>
      <c r="P8" s="17" t="n">
        <v>0</v>
      </c>
      <c r="Q8" s="13" t="n">
        <v>0</v>
      </c>
      <c r="R8" s="13" t="n">
        <v>0</v>
      </c>
      <c r="S8" s="18" t="n">
        <v>0</v>
      </c>
      <c r="T8" s="13"/>
      <c r="U8" s="19" t="n">
        <f aca="false">IF(N8=0,I8,I8-O8*(I8/N8))</f>
        <v>2200</v>
      </c>
      <c r="V8" s="19" t="n">
        <f aca="false">U8+J8+K8+L8+M8</f>
        <v>2200</v>
      </c>
      <c r="W8" s="19" t="n">
        <f aca="false">P8*Q8</f>
        <v>0</v>
      </c>
      <c r="X8" s="19" t="n">
        <f aca="false">V8+W8</f>
        <v>2200</v>
      </c>
      <c r="Y8" s="20" t="n">
        <f aca="false">IF(G8="Y",ROUNDUP(V8*Rates!$B$5,0),0)</f>
        <v>242</v>
      </c>
      <c r="Z8" s="20" t="n">
        <f aca="false">IF(G8="Y",ROUNDUP(V8*IF(X8&gt;Rates!$B$8,Rates!$B$7,Rates!$B$6),0),0)</f>
        <v>286</v>
      </c>
      <c r="AA8" s="20" t="n">
        <f aca="false">IF(H8="Y",IF(F8="Y",0,VLOOKUP(MIN(V8,Rates!$B$9),Rates!$A$34:$I$97,6,TRUE())),0)</f>
        <v>10.75</v>
      </c>
      <c r="AB8" s="20" t="n">
        <f aca="false">IF(H8="Y",IF(F8="Y",VLOOKUP(MIN(V8,Rates!$B$9),Rates!$A$34:$I$97,8,TRUE()),VLOOKUP(MIN(V8,Rates!$B$9),Rates!$A$34:$I$97,7,TRUE())),0)</f>
        <v>37.65</v>
      </c>
      <c r="AC8" s="20" t="n">
        <f aca="false">IF(AND(H8="Y",F8&lt;&gt;"Y"),VLOOKUP(MIN(V8,Rates!$B$9),Rates!$A$34:$I$97,9,TRUE()),0)</f>
        <v>4.3</v>
      </c>
      <c r="AD8" s="20" t="n">
        <f aca="false">IF(AND(H8="Y",F8&lt;&gt;"Y"),VLOOKUP(MIN(V8,Rates!$B$9),Rates!$A$34:$I$97,9,TRUE()),0)</f>
        <v>4.3</v>
      </c>
      <c r="AE8" s="21" t="n">
        <f aca="false">MAX(0,V8*12-Rates!$B$14-MIN(Y8*12,Rates!$B$15)-S8)</f>
        <v>14496</v>
      </c>
      <c r="AF8" s="20" t="n">
        <f aca="false">MAX(0,MROUND((VLOOKUP(AE8,Rates!$A$21:$C$30,3,TRUE())+(AE8-VLOOKUP(AE8,Rates!$A$21:$C$30,1,TRUE()))*VLOOKUP(AE8,Rates!$A$21:$C$30,2,TRUE())-IF(AE8&lt;=35000,Rates!$B$16,0))/12,0.05))</f>
        <v>0</v>
      </c>
      <c r="AG8" s="19" t="n">
        <f aca="false">IF(T8="",AF8,T8)</f>
        <v>0</v>
      </c>
      <c r="AH8" s="19" t="n">
        <f aca="false">Y8+AA8+AC8+AG8+R8</f>
        <v>257.05</v>
      </c>
      <c r="AI8" s="22" t="n">
        <f aca="false">X8-AH8</f>
        <v>1942.95</v>
      </c>
      <c r="AJ8" s="19" t="n">
        <f aca="false">Z8+AB8+AD8</f>
        <v>327.95</v>
      </c>
      <c r="AK8" s="19" t="n">
        <f aca="false">X8+AJ8</f>
        <v>2527.95</v>
      </c>
    </row>
    <row r="9" customFormat="false" ht="15" hidden="false" customHeight="false" outlineLevel="0" collapsed="false">
      <c r="A9" s="10" t="s">
        <v>61</v>
      </c>
      <c r="B9" s="11" t="s">
        <v>62</v>
      </c>
      <c r="C9" s="11" t="s">
        <v>55</v>
      </c>
      <c r="D9" s="10" t="s">
        <v>63</v>
      </c>
      <c r="E9" s="12" t="s">
        <v>46</v>
      </c>
      <c r="F9" s="12" t="s">
        <v>47</v>
      </c>
      <c r="G9" s="12" t="s">
        <v>48</v>
      </c>
      <c r="H9" s="12" t="s">
        <v>48</v>
      </c>
      <c r="I9" s="14" t="n">
        <v>2200</v>
      </c>
      <c r="J9" s="13" t="n">
        <v>0</v>
      </c>
      <c r="K9" s="13" t="n">
        <v>0</v>
      </c>
      <c r="L9" s="13" t="n">
        <v>0</v>
      </c>
      <c r="M9" s="13" t="n">
        <v>0</v>
      </c>
      <c r="N9" s="15" t="n">
        <v>26</v>
      </c>
      <c r="O9" s="16" t="n">
        <v>0</v>
      </c>
      <c r="P9" s="23" t="n">
        <v>25.5</v>
      </c>
      <c r="Q9" s="13" t="n">
        <v>15</v>
      </c>
      <c r="R9" s="13" t="n">
        <v>0</v>
      </c>
      <c r="S9" s="18" t="n">
        <v>0</v>
      </c>
      <c r="T9" s="13"/>
      <c r="U9" s="19" t="n">
        <f aca="false">IF(N9=0,I9,I9-O9*(I9/N9))</f>
        <v>2200</v>
      </c>
      <c r="V9" s="19" t="n">
        <f aca="false">U9+J9+K9+L9+M9</f>
        <v>2200</v>
      </c>
      <c r="W9" s="19" t="n">
        <f aca="false">P9*Q9</f>
        <v>382.5</v>
      </c>
      <c r="X9" s="19" t="n">
        <f aca="false">V9+W9</f>
        <v>2582.5</v>
      </c>
      <c r="Y9" s="20" t="n">
        <f aca="false">IF(G9="Y",ROUNDUP(V9*Rates!$B$5,0),0)</f>
        <v>242</v>
      </c>
      <c r="Z9" s="20" t="n">
        <f aca="false">IF(G9="Y",ROUNDUP(V9*IF(X9&gt;Rates!$B$8,Rates!$B$7,Rates!$B$6),0),0)</f>
        <v>286</v>
      </c>
      <c r="AA9" s="20" t="n">
        <f aca="false">IF(H9="Y",IF(F9="Y",0,VLOOKUP(MIN(V9,Rates!$B$9),Rates!$A$34:$I$97,6,TRUE())),0)</f>
        <v>10.75</v>
      </c>
      <c r="AB9" s="20" t="n">
        <f aca="false">IF(H9="Y",IF(F9="Y",VLOOKUP(MIN(V9,Rates!$B$9),Rates!$A$34:$I$97,8,TRUE()),VLOOKUP(MIN(V9,Rates!$B$9),Rates!$A$34:$I$97,7,TRUE())),0)</f>
        <v>37.65</v>
      </c>
      <c r="AC9" s="20" t="n">
        <f aca="false">IF(AND(H9="Y",F9&lt;&gt;"Y"),VLOOKUP(MIN(V9,Rates!$B$9),Rates!$A$34:$I$97,9,TRUE()),0)</f>
        <v>4.3</v>
      </c>
      <c r="AD9" s="20" t="n">
        <f aca="false">IF(AND(H9="Y",F9&lt;&gt;"Y"),VLOOKUP(MIN(V9,Rates!$B$9),Rates!$A$34:$I$97,9,TRUE()),0)</f>
        <v>4.3</v>
      </c>
      <c r="AE9" s="21" t="n">
        <f aca="false">MAX(0,V9*12-Rates!$B$14-MIN(Y9*12,Rates!$B$15)-S9)</f>
        <v>14496</v>
      </c>
      <c r="AF9" s="20" t="n">
        <f aca="false">MAX(0,MROUND((VLOOKUP(AE9,Rates!$A$21:$C$30,3,TRUE())+(AE9-VLOOKUP(AE9,Rates!$A$21:$C$30,1,TRUE()))*VLOOKUP(AE9,Rates!$A$21:$C$30,2,TRUE())-IF(AE9&lt;=35000,Rates!$B$16,0))/12,0.05))</f>
        <v>0</v>
      </c>
      <c r="AG9" s="19" t="n">
        <f aca="false">IF(T9="",AF9,T9)</f>
        <v>0</v>
      </c>
      <c r="AH9" s="19" t="n">
        <f aca="false">Y9+AA9+AC9+AG9+R9</f>
        <v>257.05</v>
      </c>
      <c r="AI9" s="22" t="n">
        <f aca="false">X9-AH9</f>
        <v>2325.45</v>
      </c>
      <c r="AJ9" s="19" t="n">
        <f aca="false">Z9+AB9+AD9</f>
        <v>327.95</v>
      </c>
      <c r="AK9" s="19" t="n">
        <f aca="false">X9+AJ9</f>
        <v>2910.45</v>
      </c>
    </row>
    <row r="10" customFormat="false" ht="15" hidden="false" customHeight="false" outlineLevel="0" collapsed="false">
      <c r="A10" s="10" t="s">
        <v>64</v>
      </c>
      <c r="B10" s="11" t="s">
        <v>65</v>
      </c>
      <c r="C10" s="11" t="s">
        <v>51</v>
      </c>
      <c r="D10" s="10" t="s">
        <v>66</v>
      </c>
      <c r="E10" s="12" t="s">
        <v>46</v>
      </c>
      <c r="F10" s="12" t="s">
        <v>47</v>
      </c>
      <c r="G10" s="12" t="s">
        <v>48</v>
      </c>
      <c r="H10" s="12" t="s">
        <v>48</v>
      </c>
      <c r="I10" s="13" t="n">
        <v>2400</v>
      </c>
      <c r="J10" s="13" t="n">
        <v>0</v>
      </c>
      <c r="K10" s="13" t="n">
        <v>200</v>
      </c>
      <c r="L10" s="13" t="n">
        <v>0</v>
      </c>
      <c r="M10" s="13" t="n">
        <v>0</v>
      </c>
      <c r="N10" s="15" t="n">
        <v>26</v>
      </c>
      <c r="O10" s="16" t="n">
        <v>0</v>
      </c>
      <c r="P10" s="23" t="n">
        <v>22.5</v>
      </c>
      <c r="Q10" s="13" t="n">
        <v>15</v>
      </c>
      <c r="R10" s="13" t="n">
        <v>0</v>
      </c>
      <c r="S10" s="18" t="n">
        <v>0</v>
      </c>
      <c r="T10" s="13"/>
      <c r="U10" s="19" t="n">
        <f aca="false">IF(N10=0,I10,I10-O10*(I10/N10))</f>
        <v>2400</v>
      </c>
      <c r="V10" s="19" t="n">
        <f aca="false">U10+J10+K10+L10+M10</f>
        <v>2600</v>
      </c>
      <c r="W10" s="19" t="n">
        <f aca="false">P10*Q10</f>
        <v>337.5</v>
      </c>
      <c r="X10" s="19" t="n">
        <f aca="false">V10+W10</f>
        <v>2937.5</v>
      </c>
      <c r="Y10" s="20" t="n">
        <f aca="false">IF(G10="Y",ROUNDUP(V10*Rates!$B$5,0),0)</f>
        <v>286</v>
      </c>
      <c r="Z10" s="20" t="n">
        <f aca="false">IF(G10="Y",ROUNDUP(V10*IF(X10&gt;Rates!$B$8,Rates!$B$7,Rates!$B$6),0),0)</f>
        <v>338</v>
      </c>
      <c r="AA10" s="20" t="n">
        <f aca="false">IF(H10="Y",IF(F10="Y",0,VLOOKUP(MIN(V10,Rates!$B$9),Rates!$A$34:$I$97,6,TRUE())),0)</f>
        <v>12.75</v>
      </c>
      <c r="AB10" s="20" t="n">
        <f aca="false">IF(H10="Y",IF(F10="Y",VLOOKUP(MIN(V10,Rates!$B$9),Rates!$A$34:$I$97,8,TRUE()),VLOOKUP(MIN(V10,Rates!$B$9),Rates!$A$34:$I$97,7,TRUE())),0)</f>
        <v>44.65</v>
      </c>
      <c r="AC10" s="20" t="n">
        <f aca="false">IF(AND(H10="Y",F10&lt;&gt;"Y"),VLOOKUP(MIN(V10,Rates!$B$9),Rates!$A$34:$I$97,9,TRUE()),0)</f>
        <v>5.1</v>
      </c>
      <c r="AD10" s="20" t="n">
        <f aca="false">IF(AND(H10="Y",F10&lt;&gt;"Y"),VLOOKUP(MIN(V10,Rates!$B$9),Rates!$A$34:$I$97,9,TRUE()),0)</f>
        <v>5.1</v>
      </c>
      <c r="AE10" s="21" t="n">
        <f aca="false">MAX(0,V10*12-Rates!$B$14-MIN(Y10*12,Rates!$B$15)-S10)</f>
        <v>18768</v>
      </c>
      <c r="AF10" s="20" t="n">
        <f aca="false">MAX(0,MROUND((VLOOKUP(AE10,Rates!$A$21:$C$30,3,TRUE())+(AE10-VLOOKUP(AE10,Rates!$A$21:$C$30,1,TRUE()))*VLOOKUP(AE10,Rates!$A$21:$C$30,2,TRUE())-IF(AE10&lt;=35000,Rates!$B$16,0))/12,0.05))</f>
        <v>0</v>
      </c>
      <c r="AG10" s="19" t="n">
        <f aca="false">IF(T10="",AF10,T10)</f>
        <v>0</v>
      </c>
      <c r="AH10" s="19" t="n">
        <f aca="false">Y10+AA10+AC10+AG10+R10</f>
        <v>303.85</v>
      </c>
      <c r="AI10" s="22" t="n">
        <f aca="false">X10-AH10</f>
        <v>2633.65</v>
      </c>
      <c r="AJ10" s="19" t="n">
        <f aca="false">Z10+AB10+AD10</f>
        <v>387.75</v>
      </c>
      <c r="AK10" s="19" t="n">
        <f aca="false">X10+AJ10</f>
        <v>3325.25</v>
      </c>
    </row>
    <row r="11" customFormat="false" ht="15" hidden="false" customHeight="false" outlineLevel="0" collapsed="false">
      <c r="A11" s="10" t="s">
        <v>67</v>
      </c>
      <c r="B11" s="11" t="s">
        <v>68</v>
      </c>
      <c r="C11" s="11" t="s">
        <v>51</v>
      </c>
      <c r="D11" s="10" t="s">
        <v>69</v>
      </c>
      <c r="E11" s="12" t="s">
        <v>46</v>
      </c>
      <c r="F11" s="12" t="s">
        <v>47</v>
      </c>
      <c r="G11" s="12" t="s">
        <v>48</v>
      </c>
      <c r="H11" s="12" t="s">
        <v>48</v>
      </c>
      <c r="I11" s="14" t="n">
        <v>2100</v>
      </c>
      <c r="J11" s="13" t="n">
        <v>0</v>
      </c>
      <c r="K11" s="13" t="n">
        <v>0</v>
      </c>
      <c r="L11" s="13" t="n">
        <v>0</v>
      </c>
      <c r="M11" s="13" t="n">
        <v>0</v>
      </c>
      <c r="N11" s="15" t="n">
        <v>26</v>
      </c>
      <c r="O11" s="16" t="n">
        <v>0</v>
      </c>
      <c r="P11" s="17" t="n">
        <v>0</v>
      </c>
      <c r="Q11" s="13" t="n">
        <v>0</v>
      </c>
      <c r="R11" s="13" t="n">
        <v>0</v>
      </c>
      <c r="S11" s="18" t="n">
        <v>0</v>
      </c>
      <c r="T11" s="13"/>
      <c r="U11" s="19" t="n">
        <f aca="false">IF(N11=0,I11,I11-O11*(I11/N11))</f>
        <v>2100</v>
      </c>
      <c r="V11" s="19" t="n">
        <f aca="false">U11+J11+K11+L11+M11</f>
        <v>2100</v>
      </c>
      <c r="W11" s="19" t="n">
        <f aca="false">P11*Q11</f>
        <v>0</v>
      </c>
      <c r="X11" s="19" t="n">
        <f aca="false">V11+W11</f>
        <v>2100</v>
      </c>
      <c r="Y11" s="20" t="n">
        <f aca="false">IF(G11="Y",ROUNDUP(V11*Rates!$B$5,0),0)</f>
        <v>231</v>
      </c>
      <c r="Z11" s="20" t="n">
        <f aca="false">IF(G11="Y",ROUNDUP(V11*IF(X11&gt;Rates!$B$8,Rates!$B$7,Rates!$B$6),0),0)</f>
        <v>273</v>
      </c>
      <c r="AA11" s="20" t="n">
        <f aca="false">IF(H11="Y",IF(F11="Y",0,VLOOKUP(MIN(V11,Rates!$B$9),Rates!$A$34:$I$97,6,TRUE())),0)</f>
        <v>10.25</v>
      </c>
      <c r="AB11" s="20" t="n">
        <f aca="false">IF(H11="Y",IF(F11="Y",VLOOKUP(MIN(V11,Rates!$B$9),Rates!$A$34:$I$97,8,TRUE()),VLOOKUP(MIN(V11,Rates!$B$9),Rates!$A$34:$I$97,7,TRUE())),0)</f>
        <v>35.9</v>
      </c>
      <c r="AC11" s="20" t="n">
        <f aca="false">IF(AND(H11="Y",F11&lt;&gt;"Y"),VLOOKUP(MIN(V11,Rates!$B$9),Rates!$A$34:$I$97,9,TRUE()),0)</f>
        <v>4.1</v>
      </c>
      <c r="AD11" s="20" t="n">
        <f aca="false">IF(AND(H11="Y",F11&lt;&gt;"Y"),VLOOKUP(MIN(V11,Rates!$B$9),Rates!$A$34:$I$97,9,TRUE()),0)</f>
        <v>4.1</v>
      </c>
      <c r="AE11" s="21" t="n">
        <f aca="false">MAX(0,V11*12-Rates!$B$14-MIN(Y11*12,Rates!$B$15)-S11)</f>
        <v>13428</v>
      </c>
      <c r="AF11" s="20" t="n">
        <f aca="false">MAX(0,MROUND((VLOOKUP(AE11,Rates!$A$21:$C$30,3,TRUE())+(AE11-VLOOKUP(AE11,Rates!$A$21:$C$30,1,TRUE()))*VLOOKUP(AE11,Rates!$A$21:$C$30,2,TRUE())-IF(AE11&lt;=35000,Rates!$B$16,0))/12,0.05))</f>
        <v>0</v>
      </c>
      <c r="AG11" s="19" t="n">
        <f aca="false">IF(T11="",AF11,T11)</f>
        <v>0</v>
      </c>
      <c r="AH11" s="19" t="n">
        <f aca="false">Y11+AA11+AC11+AG11+R11</f>
        <v>245.35</v>
      </c>
      <c r="AI11" s="22" t="n">
        <f aca="false">X11-AH11</f>
        <v>1854.65</v>
      </c>
      <c r="AJ11" s="19" t="n">
        <f aca="false">Z11+AB11+AD11</f>
        <v>313</v>
      </c>
      <c r="AK11" s="19" t="n">
        <f aca="false">X11+AJ11</f>
        <v>2413</v>
      </c>
    </row>
    <row r="12" customFormat="false" ht="15" hidden="false" customHeight="false" outlineLevel="0" collapsed="false">
      <c r="A12" s="10" t="s">
        <v>70</v>
      </c>
      <c r="B12" s="11" t="s">
        <v>71</v>
      </c>
      <c r="C12" s="11" t="s">
        <v>51</v>
      </c>
      <c r="D12" s="10" t="s">
        <v>72</v>
      </c>
      <c r="E12" s="12" t="s">
        <v>46</v>
      </c>
      <c r="F12" s="12" t="s">
        <v>47</v>
      </c>
      <c r="G12" s="12" t="s">
        <v>48</v>
      </c>
      <c r="H12" s="12" t="s">
        <v>48</v>
      </c>
      <c r="I12" s="13" t="n">
        <v>3200</v>
      </c>
      <c r="J12" s="14" t="n">
        <v>0</v>
      </c>
      <c r="K12" s="13" t="n">
        <v>0</v>
      </c>
      <c r="L12" s="13" t="n">
        <v>0</v>
      </c>
      <c r="M12" s="13" t="n">
        <v>0</v>
      </c>
      <c r="N12" s="15" t="n">
        <v>26</v>
      </c>
      <c r="O12" s="16" t="n">
        <v>0</v>
      </c>
      <c r="P12" s="17" t="n">
        <v>0</v>
      </c>
      <c r="Q12" s="13" t="n">
        <v>15</v>
      </c>
      <c r="R12" s="13" t="n">
        <v>0</v>
      </c>
      <c r="S12" s="18" t="n">
        <v>0</v>
      </c>
      <c r="T12" s="13"/>
      <c r="U12" s="19" t="n">
        <f aca="false">IF(N12=0,I12,I12-O12*(I12/N12))</f>
        <v>3200</v>
      </c>
      <c r="V12" s="19" t="n">
        <f aca="false">U12+J12+K12+L12+M12</f>
        <v>3200</v>
      </c>
      <c r="W12" s="19" t="n">
        <f aca="false">P12*Q12</f>
        <v>0</v>
      </c>
      <c r="X12" s="19" t="n">
        <f aca="false">V12+W12</f>
        <v>3200</v>
      </c>
      <c r="Y12" s="20" t="n">
        <f aca="false">IF(G12="Y",ROUNDUP(V12*Rates!$B$5,0),0)</f>
        <v>352</v>
      </c>
      <c r="Z12" s="20" t="n">
        <f aca="false">IF(G12="Y",ROUNDUP(V12*IF(X12&gt;Rates!$B$8,Rates!$B$7,Rates!$B$6),0),0)</f>
        <v>416</v>
      </c>
      <c r="AA12" s="20" t="n">
        <f aca="false">IF(H12="Y",IF(F12="Y",0,VLOOKUP(MIN(V12,Rates!$B$9),Rates!$A$34:$I$97,6,TRUE())),0)</f>
        <v>15.75</v>
      </c>
      <c r="AB12" s="20" t="n">
        <f aca="false">IF(H12="Y",IF(F12="Y",VLOOKUP(MIN(V12,Rates!$B$9),Rates!$A$34:$I$97,8,TRUE()),VLOOKUP(MIN(V12,Rates!$B$9),Rates!$A$34:$I$97,7,TRUE())),0)</f>
        <v>55.15</v>
      </c>
      <c r="AC12" s="20" t="n">
        <f aca="false">IF(AND(H12="Y",F12&lt;&gt;"Y"),VLOOKUP(MIN(V12,Rates!$B$9),Rates!$A$34:$I$97,9,TRUE()),0)</f>
        <v>6.3</v>
      </c>
      <c r="AD12" s="20" t="n">
        <f aca="false">IF(AND(H12="Y",F12&lt;&gt;"Y"),VLOOKUP(MIN(V12,Rates!$B$9),Rates!$A$34:$I$97,9,TRUE()),0)</f>
        <v>6.3</v>
      </c>
      <c r="AE12" s="21" t="n">
        <f aca="false">MAX(0,V12*12-Rates!$B$14-MIN(Y12*12,Rates!$B$15)-S12)</f>
        <v>25400</v>
      </c>
      <c r="AF12" s="20" t="n">
        <f aca="false">MAX(0,MROUND((VLOOKUP(AE12,Rates!$A$21:$C$30,3,TRUE())+(AE12-VLOOKUP(AE12,Rates!$A$21:$C$30,1,TRUE()))*VLOOKUP(AE12,Rates!$A$21:$C$30,2,TRUE())-IF(AE12&lt;=35000,Rates!$B$16,0))/12,0.05))</f>
        <v>0</v>
      </c>
      <c r="AG12" s="19" t="n">
        <f aca="false">IF(T12="",AF12,T12)</f>
        <v>0</v>
      </c>
      <c r="AH12" s="19" t="n">
        <f aca="false">Y12+AA12+AC12+AG12+R12</f>
        <v>374.05</v>
      </c>
      <c r="AI12" s="22" t="n">
        <f aca="false">X12-AH12</f>
        <v>2825.95</v>
      </c>
      <c r="AJ12" s="19" t="n">
        <f aca="false">Z12+AB12+AD12</f>
        <v>477.45</v>
      </c>
      <c r="AK12" s="19" t="n">
        <f aca="false">X12+AJ12</f>
        <v>3677.45</v>
      </c>
    </row>
    <row r="13" customFormat="false" ht="15" hidden="false" customHeight="false" outlineLevel="0" collapsed="false">
      <c r="A13" s="10" t="s">
        <v>73</v>
      </c>
      <c r="B13" s="11" t="s">
        <v>74</v>
      </c>
      <c r="C13" s="11" t="s">
        <v>55</v>
      </c>
      <c r="D13" s="10" t="s">
        <v>75</v>
      </c>
      <c r="E13" s="12" t="s">
        <v>76</v>
      </c>
      <c r="F13" s="12" t="s">
        <v>47</v>
      </c>
      <c r="G13" s="12" t="s">
        <v>47</v>
      </c>
      <c r="H13" s="12" t="s">
        <v>47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5" t="n">
        <v>26</v>
      </c>
      <c r="O13" s="16" t="n">
        <v>0</v>
      </c>
      <c r="P13" s="23" t="n">
        <v>0</v>
      </c>
      <c r="Q13" s="13" t="n">
        <v>8</v>
      </c>
      <c r="R13" s="13" t="n">
        <v>0</v>
      </c>
      <c r="S13" s="18" t="n">
        <v>0</v>
      </c>
      <c r="T13" s="13"/>
      <c r="U13" s="19" t="n">
        <f aca="false">IF(N13=0,I13,I13-O13*(I13/N13))</f>
        <v>0</v>
      </c>
      <c r="V13" s="19" t="n">
        <f aca="false">U13+J13+K13+L13+M13</f>
        <v>0</v>
      </c>
      <c r="W13" s="19" t="n">
        <f aca="false">P13*Q13</f>
        <v>0</v>
      </c>
      <c r="X13" s="19" t="n">
        <f aca="false">V13+W13</f>
        <v>0</v>
      </c>
      <c r="Y13" s="20" t="n">
        <f aca="false">IF(G13="Y",ROUNDUP(V13*Rates!$B$5,0),0)</f>
        <v>0</v>
      </c>
      <c r="Z13" s="20" t="n">
        <f aca="false">IF(G13="Y",ROUNDUP(V13*IF(X13&gt;Rates!$B$8,Rates!$B$7,Rates!$B$6),0),0)</f>
        <v>0</v>
      </c>
      <c r="AA13" s="20" t="n">
        <f aca="false">IF(H13="Y",IF(F13="Y",0,VLOOKUP(MIN(V13,Rates!$B$9),Rates!$A$34:$I$97,6,TRUE())),0)</f>
        <v>0</v>
      </c>
      <c r="AB13" s="20" t="n">
        <f aca="false">IF(H13="Y",IF(F13="Y",VLOOKUP(MIN(V13,Rates!$B$9),Rates!$A$34:$I$97,8,TRUE()),VLOOKUP(MIN(V13,Rates!$B$9),Rates!$A$34:$I$97,7,TRUE())),0)</f>
        <v>0</v>
      </c>
      <c r="AC13" s="20" t="n">
        <f aca="false">IF(AND(H13="Y",F13&lt;&gt;"Y"),VLOOKUP(MIN(V13,Rates!$B$9),Rates!$A$34:$I$97,9,TRUE()),0)</f>
        <v>0</v>
      </c>
      <c r="AD13" s="20" t="n">
        <f aca="false">IF(AND(H13="Y",F13&lt;&gt;"Y"),VLOOKUP(MIN(V13,Rates!$B$9),Rates!$A$34:$I$97,9,TRUE()),0)</f>
        <v>0</v>
      </c>
      <c r="AE13" s="21" t="n">
        <f aca="false">MAX(0,V13*12-Rates!$B$14-MIN(Y13*12,Rates!$B$15)-S13)</f>
        <v>0</v>
      </c>
      <c r="AF13" s="20" t="n">
        <f aca="false">MAX(0,MROUND((VLOOKUP(AE13,Rates!$A$21:$C$30,3,TRUE())+(AE13-VLOOKUP(AE13,Rates!$A$21:$C$30,1,TRUE()))*VLOOKUP(AE13,Rates!$A$21:$C$30,2,TRUE())-IF(AE13&lt;=35000,Rates!$B$16,0))/12,0.05))</f>
        <v>0</v>
      </c>
      <c r="AG13" s="19" t="n">
        <f aca="false">IF(T13="",AF13,T13)</f>
        <v>0</v>
      </c>
      <c r="AH13" s="19" t="n">
        <f aca="false">Y13+AA13+AC13+AG13+R13</f>
        <v>0</v>
      </c>
      <c r="AI13" s="22" t="n">
        <f aca="false">X13-AH13</f>
        <v>0</v>
      </c>
      <c r="AJ13" s="19" t="n">
        <f aca="false">Z13+AB13+AD13</f>
        <v>0</v>
      </c>
      <c r="AK13" s="19" t="n">
        <f aca="false">X13+AJ13</f>
        <v>0</v>
      </c>
    </row>
    <row r="14" customFormat="false" ht="15" hidden="false" customHeight="false" outlineLevel="0" collapsed="false">
      <c r="A14" s="10" t="s">
        <v>77</v>
      </c>
      <c r="B14" s="11" t="s">
        <v>78</v>
      </c>
      <c r="C14" s="11" t="s">
        <v>44</v>
      </c>
      <c r="D14" s="10" t="s">
        <v>79</v>
      </c>
      <c r="E14" s="12" t="s">
        <v>76</v>
      </c>
      <c r="F14" s="12" t="s">
        <v>47</v>
      </c>
      <c r="G14" s="12" t="s">
        <v>47</v>
      </c>
      <c r="H14" s="12" t="s">
        <v>47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5" t="n">
        <v>26</v>
      </c>
      <c r="O14" s="16" t="n">
        <v>0</v>
      </c>
      <c r="P14" s="23" t="n">
        <v>0</v>
      </c>
      <c r="Q14" s="13" t="n">
        <v>8</v>
      </c>
      <c r="R14" s="13" t="n">
        <v>0</v>
      </c>
      <c r="S14" s="18" t="n">
        <v>0</v>
      </c>
      <c r="T14" s="13"/>
      <c r="U14" s="19" t="n">
        <f aca="false">IF(N14=0,I14,I14-O14*(I14/N14))</f>
        <v>0</v>
      </c>
      <c r="V14" s="19" t="n">
        <f aca="false">U14+J14+K14+L14+M14</f>
        <v>0</v>
      </c>
      <c r="W14" s="19" t="n">
        <f aca="false">P14*Q14</f>
        <v>0</v>
      </c>
      <c r="X14" s="19" t="n">
        <f aca="false">V14+W14</f>
        <v>0</v>
      </c>
      <c r="Y14" s="20" t="n">
        <f aca="false">IF(G14="Y",ROUNDUP(V14*Rates!$B$5,0),0)</f>
        <v>0</v>
      </c>
      <c r="Z14" s="20" t="n">
        <f aca="false">IF(G14="Y",ROUNDUP(V14*IF(X14&gt;Rates!$B$8,Rates!$B$7,Rates!$B$6),0),0)</f>
        <v>0</v>
      </c>
      <c r="AA14" s="20" t="n">
        <f aca="false">IF(H14="Y",IF(F14="Y",0,VLOOKUP(MIN(V14,Rates!$B$9),Rates!$A$34:$I$97,6,TRUE())),0)</f>
        <v>0</v>
      </c>
      <c r="AB14" s="20" t="n">
        <f aca="false">IF(H14="Y",IF(F14="Y",VLOOKUP(MIN(V14,Rates!$B$9),Rates!$A$34:$I$97,8,TRUE()),VLOOKUP(MIN(V14,Rates!$B$9),Rates!$A$34:$I$97,7,TRUE())),0)</f>
        <v>0</v>
      </c>
      <c r="AC14" s="20" t="n">
        <f aca="false">IF(AND(H14="Y",F14&lt;&gt;"Y"),VLOOKUP(MIN(V14,Rates!$B$9),Rates!$A$34:$I$97,9,TRUE()),0)</f>
        <v>0</v>
      </c>
      <c r="AD14" s="20" t="n">
        <f aca="false">IF(AND(H14="Y",F14&lt;&gt;"Y"),VLOOKUP(MIN(V14,Rates!$B$9),Rates!$A$34:$I$97,9,TRUE()),0)</f>
        <v>0</v>
      </c>
      <c r="AE14" s="21" t="n">
        <f aca="false">MAX(0,V14*12-Rates!$B$14-MIN(Y14*12,Rates!$B$15)-S14)</f>
        <v>0</v>
      </c>
      <c r="AF14" s="20" t="n">
        <f aca="false">MAX(0,MROUND((VLOOKUP(AE14,Rates!$A$21:$C$30,3,TRUE())+(AE14-VLOOKUP(AE14,Rates!$A$21:$C$30,1,TRUE()))*VLOOKUP(AE14,Rates!$A$21:$C$30,2,TRUE())-IF(AE14&lt;=35000,Rates!$B$16,0))/12,0.05))</f>
        <v>0</v>
      </c>
      <c r="AG14" s="19" t="n">
        <f aca="false">IF(T14="",AF14,T14)</f>
        <v>0</v>
      </c>
      <c r="AH14" s="19" t="n">
        <f aca="false">Y14+AA14+AC14+AG14+R14</f>
        <v>0</v>
      </c>
      <c r="AI14" s="22" t="n">
        <f aca="false">X14-AH14</f>
        <v>0</v>
      </c>
      <c r="AJ14" s="19" t="n">
        <f aca="false">Z14+AB14+AD14</f>
        <v>0</v>
      </c>
      <c r="AK14" s="19" t="n">
        <f aca="false">X14+AJ14</f>
        <v>0</v>
      </c>
    </row>
    <row r="15" customFormat="false" ht="15" hidden="false" customHeight="false" outlineLevel="0" collapsed="false">
      <c r="A15" s="10"/>
      <c r="B15" s="11" t="s">
        <v>80</v>
      </c>
      <c r="C15" s="11" t="s">
        <v>44</v>
      </c>
      <c r="D15" s="10"/>
      <c r="E15" s="12" t="s">
        <v>76</v>
      </c>
      <c r="F15" s="12" t="s">
        <v>47</v>
      </c>
      <c r="G15" s="12" t="s">
        <v>47</v>
      </c>
      <c r="H15" s="12" t="s">
        <v>47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5" t="n">
        <v>26</v>
      </c>
      <c r="O15" s="16" t="n">
        <v>0</v>
      </c>
      <c r="P15" s="17" t="n">
        <v>51</v>
      </c>
      <c r="Q15" s="13" t="n">
        <v>8</v>
      </c>
      <c r="R15" s="13" t="n">
        <v>0</v>
      </c>
      <c r="S15" s="18" t="n">
        <v>0</v>
      </c>
      <c r="T15" s="13"/>
      <c r="U15" s="19" t="n">
        <f aca="false">IF(N15=0,I15,I15-O15*(I15/N15))</f>
        <v>0</v>
      </c>
      <c r="V15" s="19" t="n">
        <f aca="false">U15+J15+K15+L15+M15</f>
        <v>0</v>
      </c>
      <c r="W15" s="19" t="n">
        <f aca="false">P15*Q15</f>
        <v>408</v>
      </c>
      <c r="X15" s="19" t="n">
        <f aca="false">V15+W15</f>
        <v>408</v>
      </c>
      <c r="Y15" s="20" t="n">
        <f aca="false">IF(G15="Y",ROUNDUP(V15*Rates!$B$5,0),0)</f>
        <v>0</v>
      </c>
      <c r="Z15" s="20" t="n">
        <f aca="false">IF(G15="Y",ROUNDUP(V15*IF(X15&gt;Rates!$B$8,Rates!$B$7,Rates!$B$6),0),0)</f>
        <v>0</v>
      </c>
      <c r="AA15" s="20" t="n">
        <f aca="false">IF(H15="Y",IF(F15="Y",0,VLOOKUP(MIN(V15,Rates!$B$9),Rates!$A$34:$I$97,6,TRUE())),0)</f>
        <v>0</v>
      </c>
      <c r="AB15" s="20" t="n">
        <f aca="false">IF(H15="Y",IF(F15="Y",VLOOKUP(MIN(V15,Rates!$B$9),Rates!$A$34:$I$97,8,TRUE()),VLOOKUP(MIN(V15,Rates!$B$9),Rates!$A$34:$I$97,7,TRUE())),0)</f>
        <v>0</v>
      </c>
      <c r="AC15" s="20" t="n">
        <f aca="false">IF(AND(H15="Y",F15&lt;&gt;"Y"),VLOOKUP(MIN(V15,Rates!$B$9),Rates!$A$34:$I$97,9,TRUE()),0)</f>
        <v>0</v>
      </c>
      <c r="AD15" s="20" t="n">
        <f aca="false">IF(AND(H15="Y",F15&lt;&gt;"Y"),VLOOKUP(MIN(V15,Rates!$B$9),Rates!$A$34:$I$97,9,TRUE()),0)</f>
        <v>0</v>
      </c>
      <c r="AE15" s="21" t="n">
        <f aca="false">MAX(0,V15*12-Rates!$B$14-MIN(Y15*12,Rates!$B$15)-S15)</f>
        <v>0</v>
      </c>
      <c r="AF15" s="20" t="n">
        <f aca="false">MAX(0,MROUND((VLOOKUP(AE15,Rates!$A$21:$C$30,3,TRUE())+(AE15-VLOOKUP(AE15,Rates!$A$21:$C$30,1,TRUE()))*VLOOKUP(AE15,Rates!$A$21:$C$30,2,TRUE())-IF(AE15&lt;=35000,Rates!$B$16,0))/12,0.05))</f>
        <v>0</v>
      </c>
      <c r="AG15" s="19" t="n">
        <f aca="false">IF(T15="",AF15,T15)</f>
        <v>0</v>
      </c>
      <c r="AH15" s="19" t="n">
        <f aca="false">Y15+AA15+AC15+AG15+R15</f>
        <v>0</v>
      </c>
      <c r="AI15" s="22" t="n">
        <f aca="false">X15-AH15</f>
        <v>408</v>
      </c>
      <c r="AJ15" s="19" t="n">
        <f aca="false">Z15+AB15+AD15</f>
        <v>0</v>
      </c>
      <c r="AK15" s="19" t="n">
        <f aca="false">X15+AJ15</f>
        <v>408</v>
      </c>
    </row>
    <row r="16" customFormat="false" ht="15" hidden="false" customHeight="false" outlineLevel="0" collapsed="false">
      <c r="A16" s="10"/>
      <c r="B16" s="11" t="s">
        <v>81</v>
      </c>
      <c r="C16" s="11" t="s">
        <v>82</v>
      </c>
      <c r="D16" s="10"/>
      <c r="E16" s="12" t="s">
        <v>76</v>
      </c>
      <c r="F16" s="12" t="s">
        <v>47</v>
      </c>
      <c r="G16" s="12" t="s">
        <v>47</v>
      </c>
      <c r="H16" s="12" t="s">
        <v>47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5" t="n">
        <v>26</v>
      </c>
      <c r="O16" s="16" t="n">
        <v>0</v>
      </c>
      <c r="P16" s="17" t="n">
        <v>41</v>
      </c>
      <c r="Q16" s="13" t="n">
        <v>8</v>
      </c>
      <c r="R16" s="13" t="n">
        <v>0</v>
      </c>
      <c r="S16" s="18" t="n">
        <v>0</v>
      </c>
      <c r="T16" s="13"/>
      <c r="U16" s="19" t="n">
        <f aca="false">IF(N16=0,I16,I16-O16*(I16/N16))</f>
        <v>0</v>
      </c>
      <c r="V16" s="19" t="n">
        <f aca="false">U16+J16+K16+L16+M16</f>
        <v>0</v>
      </c>
      <c r="W16" s="19" t="n">
        <f aca="false">P16*Q16</f>
        <v>328</v>
      </c>
      <c r="X16" s="19" t="n">
        <f aca="false">V16+W16</f>
        <v>328</v>
      </c>
      <c r="Y16" s="20" t="n">
        <f aca="false">IF(G16="Y",ROUNDUP(V16*Rates!$B$5,0),0)</f>
        <v>0</v>
      </c>
      <c r="Z16" s="20" t="n">
        <f aca="false">IF(G16="Y",ROUNDUP(V16*IF(X16&gt;Rates!$B$8,Rates!$B$7,Rates!$B$6),0),0)</f>
        <v>0</v>
      </c>
      <c r="AA16" s="20" t="n">
        <f aca="false">IF(H16="Y",IF(F16="Y",0,VLOOKUP(MIN(V16,Rates!$B$9),Rates!$A$34:$I$97,6,TRUE())),0)</f>
        <v>0</v>
      </c>
      <c r="AB16" s="20" t="n">
        <f aca="false">IF(H16="Y",IF(F16="Y",VLOOKUP(MIN(V16,Rates!$B$9),Rates!$A$34:$I$97,8,TRUE()),VLOOKUP(MIN(V16,Rates!$B$9),Rates!$A$34:$I$97,7,TRUE())),0)</f>
        <v>0</v>
      </c>
      <c r="AC16" s="20" t="n">
        <f aca="false">IF(AND(H16="Y",F16&lt;&gt;"Y"),VLOOKUP(MIN(V16,Rates!$B$9),Rates!$A$34:$I$97,9,TRUE()),0)</f>
        <v>0</v>
      </c>
      <c r="AD16" s="20" t="n">
        <f aca="false">IF(AND(H16="Y",F16&lt;&gt;"Y"),VLOOKUP(MIN(V16,Rates!$B$9),Rates!$A$34:$I$97,9,TRUE()),0)</f>
        <v>0</v>
      </c>
      <c r="AE16" s="21" t="n">
        <f aca="false">MAX(0,V16*12-Rates!$B$14-MIN(Y16*12,Rates!$B$15)-S16)</f>
        <v>0</v>
      </c>
      <c r="AF16" s="20" t="n">
        <f aca="false">MAX(0,MROUND((VLOOKUP(AE16,Rates!$A$21:$C$30,3,TRUE())+(AE16-VLOOKUP(AE16,Rates!$A$21:$C$30,1,TRUE()))*VLOOKUP(AE16,Rates!$A$21:$C$30,2,TRUE())-IF(AE16&lt;=35000,Rates!$B$16,0))/12,0.05))</f>
        <v>0</v>
      </c>
      <c r="AG16" s="19" t="n">
        <f aca="false">IF(T16="",AF16,T16)</f>
        <v>0</v>
      </c>
      <c r="AH16" s="19" t="n">
        <f aca="false">Y16+AA16+AC16+AG16+R16</f>
        <v>0</v>
      </c>
      <c r="AI16" s="22" t="n">
        <f aca="false">X16-AH16</f>
        <v>328</v>
      </c>
      <c r="AJ16" s="19" t="n">
        <f aca="false">Z16+AB16+AD16</f>
        <v>0</v>
      </c>
      <c r="AK16" s="19" t="n">
        <f aca="false">X16+AJ16</f>
        <v>328</v>
      </c>
    </row>
    <row r="17" customFormat="false" ht="15" hidden="false" customHeight="false" outlineLevel="0" collapsed="false">
      <c r="A17" s="10" t="s">
        <v>83</v>
      </c>
      <c r="B17" s="11" t="s">
        <v>84</v>
      </c>
      <c r="C17" s="11" t="s">
        <v>85</v>
      </c>
      <c r="D17" s="10" t="s">
        <v>86</v>
      </c>
      <c r="E17" s="12" t="s">
        <v>76</v>
      </c>
      <c r="F17" s="12" t="s">
        <v>47</v>
      </c>
      <c r="G17" s="12" t="s">
        <v>47</v>
      </c>
      <c r="H17" s="12" t="s">
        <v>47</v>
      </c>
      <c r="I17" s="14" t="n">
        <v>2300</v>
      </c>
      <c r="J17" s="13" t="n">
        <v>0</v>
      </c>
      <c r="K17" s="13" t="n">
        <v>0</v>
      </c>
      <c r="L17" s="13" t="n">
        <v>0</v>
      </c>
      <c r="M17" s="13" t="n">
        <v>0</v>
      </c>
      <c r="N17" s="15" t="n">
        <v>26</v>
      </c>
      <c r="O17" s="16" t="n">
        <v>0</v>
      </c>
      <c r="P17" s="17" t="n">
        <v>0</v>
      </c>
      <c r="Q17" s="13" t="n">
        <v>0</v>
      </c>
      <c r="R17" s="13" t="n">
        <v>0</v>
      </c>
      <c r="S17" s="18" t="n">
        <v>0</v>
      </c>
      <c r="T17" s="13"/>
      <c r="U17" s="19" t="n">
        <f aca="false">IF(N17=0,I17,I17-O17*(I17/N17))</f>
        <v>2300</v>
      </c>
      <c r="V17" s="19" t="n">
        <f aca="false">U17+J17+K17+L17+M17</f>
        <v>2300</v>
      </c>
      <c r="W17" s="19" t="n">
        <f aca="false">P17*Q17</f>
        <v>0</v>
      </c>
      <c r="X17" s="19" t="n">
        <f aca="false">V17+W17</f>
        <v>2300</v>
      </c>
      <c r="Y17" s="20" t="n">
        <f aca="false">IF(G17="Y",ROUNDUP(V17*Rates!$B$5,0),0)</f>
        <v>0</v>
      </c>
      <c r="Z17" s="20" t="n">
        <f aca="false">IF(G17="Y",ROUNDUP(V17*IF(X17&gt;Rates!$B$8,Rates!$B$7,Rates!$B$6),0),0)</f>
        <v>0</v>
      </c>
      <c r="AA17" s="20" t="n">
        <f aca="false">IF(H17="Y",IF(F17="Y",0,VLOOKUP(MIN(V17,Rates!$B$9),Rates!$A$34:$I$97,6,TRUE())),0)</f>
        <v>0</v>
      </c>
      <c r="AB17" s="20" t="n">
        <f aca="false">IF(H17="Y",IF(F17="Y",VLOOKUP(MIN(V17,Rates!$B$9),Rates!$A$34:$I$97,8,TRUE()),VLOOKUP(MIN(V17,Rates!$B$9),Rates!$A$34:$I$97,7,TRUE())),0)</f>
        <v>0</v>
      </c>
      <c r="AC17" s="20" t="n">
        <f aca="false">IF(AND(H17="Y",F17&lt;&gt;"Y"),VLOOKUP(MIN(V17,Rates!$B$9),Rates!$A$34:$I$97,9,TRUE()),0)</f>
        <v>0</v>
      </c>
      <c r="AD17" s="20" t="n">
        <f aca="false">IF(AND(H17="Y",F17&lt;&gt;"Y"),VLOOKUP(MIN(V17,Rates!$B$9),Rates!$A$34:$I$97,9,TRUE()),0)</f>
        <v>0</v>
      </c>
      <c r="AE17" s="21" t="n">
        <f aca="false">MAX(0,V17*12-Rates!$B$14-MIN(Y17*12,Rates!$B$15)-S17)</f>
        <v>18600</v>
      </c>
      <c r="AF17" s="20" t="n">
        <f aca="false">MAX(0,MROUND((VLOOKUP(AE17,Rates!$A$21:$C$30,3,TRUE())+(AE17-VLOOKUP(AE17,Rates!$A$21:$C$30,1,TRUE()))*VLOOKUP(AE17,Rates!$A$21:$C$30,2,TRUE())-IF(AE17&lt;=35000,Rates!$B$16,0))/12,0.05))</f>
        <v>0</v>
      </c>
      <c r="AG17" s="19" t="n">
        <f aca="false">IF(T17="",AF17,T17)</f>
        <v>0</v>
      </c>
      <c r="AH17" s="19" t="n">
        <f aca="false">Y17+AA17+AC17+AG17+R17</f>
        <v>0</v>
      </c>
      <c r="AI17" s="22" t="n">
        <f aca="false">X17-AH17</f>
        <v>2300</v>
      </c>
      <c r="AJ17" s="19" t="n">
        <f aca="false">Z17+AB17+AD17</f>
        <v>0</v>
      </c>
      <c r="AK17" s="19" t="n">
        <f aca="false">X17+AJ17</f>
        <v>2300</v>
      </c>
    </row>
    <row r="18" customFormat="false" ht="15" hidden="false" customHeight="false" outlineLevel="0" collapsed="false">
      <c r="A18" s="10"/>
      <c r="B18" s="11" t="s">
        <v>87</v>
      </c>
      <c r="C18" s="11" t="s">
        <v>55</v>
      </c>
      <c r="D18" s="10" t="s">
        <v>88</v>
      </c>
      <c r="E18" s="12" t="s">
        <v>76</v>
      </c>
      <c r="F18" s="12" t="s">
        <v>47</v>
      </c>
      <c r="G18" s="12" t="s">
        <v>47</v>
      </c>
      <c r="H18" s="12" t="s">
        <v>47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5" t="n">
        <v>26</v>
      </c>
      <c r="O18" s="16" t="n">
        <v>0</v>
      </c>
      <c r="P18" s="17" t="n">
        <v>210</v>
      </c>
      <c r="Q18" s="13" t="n">
        <v>8</v>
      </c>
      <c r="R18" s="13" t="n">
        <v>0</v>
      </c>
      <c r="S18" s="18" t="n">
        <v>0</v>
      </c>
      <c r="T18" s="13"/>
      <c r="U18" s="19" t="n">
        <f aca="false">IF(N18=0,I18,I18-O18*(I18/N18))</f>
        <v>0</v>
      </c>
      <c r="V18" s="19" t="n">
        <f aca="false">U18+J18+K18+L18+M18</f>
        <v>0</v>
      </c>
      <c r="W18" s="19" t="n">
        <f aca="false">P18*Q18</f>
        <v>1680</v>
      </c>
      <c r="X18" s="19" t="n">
        <f aca="false">V18+W18</f>
        <v>1680</v>
      </c>
      <c r="Y18" s="20" t="n">
        <f aca="false">IF(G18="Y",ROUNDUP(V18*Rates!$B$5,0),0)</f>
        <v>0</v>
      </c>
      <c r="Z18" s="20" t="n">
        <f aca="false">IF(G18="Y",ROUNDUP(V18*IF(X18&gt;Rates!$B$8,Rates!$B$7,Rates!$B$6),0),0)</f>
        <v>0</v>
      </c>
      <c r="AA18" s="20" t="n">
        <f aca="false">IF(H18="Y",IF(F18="Y",0,VLOOKUP(MIN(V18,Rates!$B$9),Rates!$A$34:$I$97,6,TRUE())),0)</f>
        <v>0</v>
      </c>
      <c r="AB18" s="20" t="n">
        <f aca="false">IF(H18="Y",IF(F18="Y",VLOOKUP(MIN(V18,Rates!$B$9),Rates!$A$34:$I$97,8,TRUE()),VLOOKUP(MIN(V18,Rates!$B$9),Rates!$A$34:$I$97,7,TRUE())),0)</f>
        <v>0</v>
      </c>
      <c r="AC18" s="20" t="n">
        <f aca="false">IF(AND(H18="Y",F18&lt;&gt;"Y"),VLOOKUP(MIN(V18,Rates!$B$9),Rates!$A$34:$I$97,9,TRUE()),0)</f>
        <v>0</v>
      </c>
      <c r="AD18" s="20" t="n">
        <f aca="false">IF(AND(H18="Y",F18&lt;&gt;"Y"),VLOOKUP(MIN(V18,Rates!$B$9),Rates!$A$34:$I$97,9,TRUE()),0)</f>
        <v>0</v>
      </c>
      <c r="AE18" s="21" t="n">
        <f aca="false">MAX(0,V18*12-Rates!$B$14-MIN(Y18*12,Rates!$B$15)-S18)</f>
        <v>0</v>
      </c>
      <c r="AF18" s="20" t="n">
        <f aca="false">MAX(0,MROUND((VLOOKUP(AE18,Rates!$A$21:$C$30,3,TRUE())+(AE18-VLOOKUP(AE18,Rates!$A$21:$C$30,1,TRUE()))*VLOOKUP(AE18,Rates!$A$21:$C$30,2,TRUE())-IF(AE18&lt;=35000,Rates!$B$16,0))/12,0.05))</f>
        <v>0</v>
      </c>
      <c r="AG18" s="19" t="n">
        <f aca="false">IF(T18="",AF18,T18)</f>
        <v>0</v>
      </c>
      <c r="AH18" s="19" t="n">
        <f aca="false">Y18+AA18+AC18+AG18+R18</f>
        <v>0</v>
      </c>
      <c r="AI18" s="22" t="n">
        <f aca="false">X18-AH18</f>
        <v>1680</v>
      </c>
      <c r="AJ18" s="19" t="n">
        <f aca="false">Z18+AB18+AD18</f>
        <v>0</v>
      </c>
      <c r="AK18" s="19" t="n">
        <f aca="false">X18+AJ18</f>
        <v>1680</v>
      </c>
    </row>
    <row r="19" customFormat="false" ht="15" hidden="false" customHeight="false" outlineLevel="0" collapsed="false">
      <c r="A19" s="10"/>
      <c r="B19" s="11" t="s">
        <v>89</v>
      </c>
      <c r="C19" s="11" t="s">
        <v>44</v>
      </c>
      <c r="D19" s="10" t="s">
        <v>90</v>
      </c>
      <c r="E19" s="12" t="s">
        <v>76</v>
      </c>
      <c r="F19" s="12" t="s">
        <v>47</v>
      </c>
      <c r="G19" s="12" t="s">
        <v>47</v>
      </c>
      <c r="H19" s="12" t="s">
        <v>47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5" t="n">
        <v>26</v>
      </c>
      <c r="O19" s="16" t="n">
        <v>0</v>
      </c>
      <c r="P19" s="17" t="n">
        <v>4</v>
      </c>
      <c r="Q19" s="13" t="n">
        <v>8</v>
      </c>
      <c r="R19" s="13" t="n">
        <v>0</v>
      </c>
      <c r="S19" s="18" t="n">
        <v>0</v>
      </c>
      <c r="T19" s="13"/>
      <c r="U19" s="19" t="n">
        <f aca="false">IF(N19=0,I19,I19-O19*(I19/N19))</f>
        <v>0</v>
      </c>
      <c r="V19" s="19" t="n">
        <f aca="false">U19+J19+K19+L19+M19</f>
        <v>0</v>
      </c>
      <c r="W19" s="19" t="n">
        <f aca="false">P19*Q19</f>
        <v>32</v>
      </c>
      <c r="X19" s="19" t="n">
        <f aca="false">V19+W19</f>
        <v>32</v>
      </c>
      <c r="Y19" s="20" t="n">
        <f aca="false">IF(G19="Y",ROUNDUP(V19*Rates!$B$5,0),0)</f>
        <v>0</v>
      </c>
      <c r="Z19" s="20" t="n">
        <f aca="false">IF(G19="Y",ROUNDUP(V19*IF(X19&gt;Rates!$B$8,Rates!$B$7,Rates!$B$6),0),0)</f>
        <v>0</v>
      </c>
      <c r="AA19" s="20" t="n">
        <f aca="false">IF(H19="Y",IF(F19="Y",0,VLOOKUP(MIN(V19,Rates!$B$9),Rates!$A$34:$I$97,6,TRUE())),0)</f>
        <v>0</v>
      </c>
      <c r="AB19" s="20" t="n">
        <f aca="false">IF(H19="Y",IF(F19="Y",VLOOKUP(MIN(V19,Rates!$B$9),Rates!$A$34:$I$97,8,TRUE()),VLOOKUP(MIN(V19,Rates!$B$9),Rates!$A$34:$I$97,7,TRUE())),0)</f>
        <v>0</v>
      </c>
      <c r="AC19" s="20" t="n">
        <f aca="false">IF(AND(H19="Y",F19&lt;&gt;"Y"),VLOOKUP(MIN(V19,Rates!$B$9),Rates!$A$34:$I$97,9,TRUE()),0)</f>
        <v>0</v>
      </c>
      <c r="AD19" s="20" t="n">
        <f aca="false">IF(AND(H19="Y",F19&lt;&gt;"Y"),VLOOKUP(MIN(V19,Rates!$B$9),Rates!$A$34:$I$97,9,TRUE()),0)</f>
        <v>0</v>
      </c>
      <c r="AE19" s="21" t="n">
        <f aca="false">MAX(0,V19*12-Rates!$B$14-MIN(Y19*12,Rates!$B$15)-S19)</f>
        <v>0</v>
      </c>
      <c r="AF19" s="20" t="n">
        <f aca="false">MAX(0,MROUND((VLOOKUP(AE19,Rates!$A$21:$C$30,3,TRUE())+(AE19-VLOOKUP(AE19,Rates!$A$21:$C$30,1,TRUE()))*VLOOKUP(AE19,Rates!$A$21:$C$30,2,TRUE())-IF(AE19&lt;=35000,Rates!$B$16,0))/12,0.05))</f>
        <v>0</v>
      </c>
      <c r="AG19" s="19" t="n">
        <f aca="false">IF(T19="",AF19,T19)</f>
        <v>0</v>
      </c>
      <c r="AH19" s="19" t="n">
        <f aca="false">Y19+AA19+AC19+AG19+R19</f>
        <v>0</v>
      </c>
      <c r="AI19" s="22" t="n">
        <f aca="false">X19-AH19</f>
        <v>32</v>
      </c>
      <c r="AJ19" s="19" t="n">
        <f aca="false">Z19+AB19+AD19</f>
        <v>0</v>
      </c>
      <c r="AK19" s="19" t="n">
        <f aca="false">X19+AJ19</f>
        <v>32</v>
      </c>
    </row>
    <row r="20" customFormat="false" ht="15" hidden="false" customHeight="false" outlineLevel="0" collapsed="false">
      <c r="A20" s="10"/>
      <c r="B20" s="11" t="s">
        <v>91</v>
      </c>
      <c r="C20" s="11" t="s">
        <v>51</v>
      </c>
      <c r="D20" s="10"/>
      <c r="E20" s="12" t="s">
        <v>76</v>
      </c>
      <c r="F20" s="12" t="s">
        <v>47</v>
      </c>
      <c r="G20" s="12" t="s">
        <v>47</v>
      </c>
      <c r="H20" s="12" t="s">
        <v>47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5" t="n">
        <v>26</v>
      </c>
      <c r="O20" s="16" t="n">
        <v>0</v>
      </c>
      <c r="P20" s="17" t="n">
        <v>7</v>
      </c>
      <c r="Q20" s="13" t="n">
        <v>8</v>
      </c>
      <c r="R20" s="13" t="n">
        <v>0</v>
      </c>
      <c r="S20" s="18" t="n">
        <v>0</v>
      </c>
      <c r="T20" s="13"/>
      <c r="U20" s="19" t="n">
        <f aca="false">IF(N20=0,I20,I20-O20*(I20/N20))</f>
        <v>0</v>
      </c>
      <c r="V20" s="19" t="n">
        <f aca="false">U20+J20+K20+L20+M20</f>
        <v>0</v>
      </c>
      <c r="W20" s="19" t="n">
        <f aca="false">P20*Q20</f>
        <v>56</v>
      </c>
      <c r="X20" s="19" t="n">
        <f aca="false">V20+W20</f>
        <v>56</v>
      </c>
      <c r="Y20" s="20" t="n">
        <f aca="false">IF(G20="Y",ROUNDUP(V20*Rates!$B$5,0),0)</f>
        <v>0</v>
      </c>
      <c r="Z20" s="20" t="n">
        <f aca="false">IF(G20="Y",ROUNDUP(V20*IF(X20&gt;Rates!$B$8,Rates!$B$7,Rates!$B$6),0),0)</f>
        <v>0</v>
      </c>
      <c r="AA20" s="20" t="n">
        <f aca="false">IF(H20="Y",IF(F20="Y",0,VLOOKUP(MIN(V20,Rates!$B$9),Rates!$A$34:$I$97,6,TRUE())),0)</f>
        <v>0</v>
      </c>
      <c r="AB20" s="20" t="n">
        <f aca="false">IF(H20="Y",IF(F20="Y",VLOOKUP(MIN(V20,Rates!$B$9),Rates!$A$34:$I$97,8,TRUE()),VLOOKUP(MIN(V20,Rates!$B$9),Rates!$A$34:$I$97,7,TRUE())),0)</f>
        <v>0</v>
      </c>
      <c r="AC20" s="20" t="n">
        <f aca="false">IF(AND(H20="Y",F20&lt;&gt;"Y"),VLOOKUP(MIN(V20,Rates!$B$9),Rates!$A$34:$I$97,9,TRUE()),0)</f>
        <v>0</v>
      </c>
      <c r="AD20" s="20" t="n">
        <f aca="false">IF(AND(H20="Y",F20&lt;&gt;"Y"),VLOOKUP(MIN(V20,Rates!$B$9),Rates!$A$34:$I$97,9,TRUE()),0)</f>
        <v>0</v>
      </c>
      <c r="AE20" s="21" t="n">
        <f aca="false">MAX(0,V20*12-Rates!$B$14-MIN(Y20*12,Rates!$B$15)-S20)</f>
        <v>0</v>
      </c>
      <c r="AF20" s="20" t="n">
        <f aca="false">MAX(0,MROUND((VLOOKUP(AE20,Rates!$A$21:$C$30,3,TRUE())+(AE20-VLOOKUP(AE20,Rates!$A$21:$C$30,1,TRUE()))*VLOOKUP(AE20,Rates!$A$21:$C$30,2,TRUE())-IF(AE20&lt;=35000,Rates!$B$16,0))/12,0.05))</f>
        <v>0</v>
      </c>
      <c r="AG20" s="19" t="n">
        <f aca="false">IF(T20="",AF20,T20)</f>
        <v>0</v>
      </c>
      <c r="AH20" s="19" t="n">
        <f aca="false">Y20+AA20+AC20+AG20+R20</f>
        <v>0</v>
      </c>
      <c r="AI20" s="22" t="n">
        <f aca="false">X20-AH20</f>
        <v>56</v>
      </c>
      <c r="AJ20" s="19" t="n">
        <f aca="false">Z20+AB20+AD20</f>
        <v>0</v>
      </c>
      <c r="AK20" s="19" t="n">
        <f aca="false">X20+AJ20</f>
        <v>56</v>
      </c>
    </row>
    <row r="21" customFormat="false" ht="15" hidden="false" customHeight="false" outlineLevel="0" collapsed="false">
      <c r="A21" s="10"/>
      <c r="B21" s="11" t="s">
        <v>92</v>
      </c>
      <c r="C21" s="11" t="s">
        <v>55</v>
      </c>
      <c r="D21" s="10" t="s">
        <v>93</v>
      </c>
      <c r="E21" s="12" t="s">
        <v>76</v>
      </c>
      <c r="F21" s="12" t="s">
        <v>47</v>
      </c>
      <c r="G21" s="12" t="s">
        <v>47</v>
      </c>
      <c r="H21" s="12" t="s">
        <v>47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5" t="n">
        <v>26</v>
      </c>
      <c r="O21" s="16" t="n">
        <v>0</v>
      </c>
      <c r="P21" s="17" t="n">
        <v>28</v>
      </c>
      <c r="Q21" s="13" t="n">
        <v>8</v>
      </c>
      <c r="R21" s="13" t="n">
        <v>0</v>
      </c>
      <c r="S21" s="18" t="n">
        <v>0</v>
      </c>
      <c r="T21" s="13"/>
      <c r="U21" s="19" t="n">
        <f aca="false">IF(N21=0,I21,I21-O21*(I21/N21))</f>
        <v>0</v>
      </c>
      <c r="V21" s="19" t="n">
        <f aca="false">U21+J21+K21+L21+M21</f>
        <v>0</v>
      </c>
      <c r="W21" s="19" t="n">
        <f aca="false">P21*Q21</f>
        <v>224</v>
      </c>
      <c r="X21" s="19" t="n">
        <f aca="false">V21+W21</f>
        <v>224</v>
      </c>
      <c r="Y21" s="20" t="n">
        <f aca="false">IF(G21="Y",ROUNDUP(V21*Rates!$B$5,0),0)</f>
        <v>0</v>
      </c>
      <c r="Z21" s="20" t="n">
        <f aca="false">IF(G21="Y",ROUNDUP(V21*IF(X21&gt;Rates!$B$8,Rates!$B$7,Rates!$B$6),0),0)</f>
        <v>0</v>
      </c>
      <c r="AA21" s="20" t="n">
        <f aca="false">IF(H21="Y",IF(F21="Y",0,VLOOKUP(MIN(V21,Rates!$B$9),Rates!$A$34:$I$97,6,TRUE())),0)</f>
        <v>0</v>
      </c>
      <c r="AB21" s="20" t="n">
        <f aca="false">IF(H21="Y",IF(F21="Y",VLOOKUP(MIN(V21,Rates!$B$9),Rates!$A$34:$I$97,8,TRUE()),VLOOKUP(MIN(V21,Rates!$B$9),Rates!$A$34:$I$97,7,TRUE())),0)</f>
        <v>0</v>
      </c>
      <c r="AC21" s="20" t="n">
        <f aca="false">IF(AND(H21="Y",F21&lt;&gt;"Y"),VLOOKUP(MIN(V21,Rates!$B$9),Rates!$A$34:$I$97,9,TRUE()),0)</f>
        <v>0</v>
      </c>
      <c r="AD21" s="20" t="n">
        <f aca="false">IF(AND(H21="Y",F21&lt;&gt;"Y"),VLOOKUP(MIN(V21,Rates!$B$9),Rates!$A$34:$I$97,9,TRUE()),0)</f>
        <v>0</v>
      </c>
      <c r="AE21" s="21" t="n">
        <f aca="false">MAX(0,V21*12-Rates!$B$14-MIN(Y21*12,Rates!$B$15)-S21)</f>
        <v>0</v>
      </c>
      <c r="AF21" s="20" t="n">
        <f aca="false">MAX(0,MROUND((VLOOKUP(AE21,Rates!$A$21:$C$30,3,TRUE())+(AE21-VLOOKUP(AE21,Rates!$A$21:$C$30,1,TRUE()))*VLOOKUP(AE21,Rates!$A$21:$C$30,2,TRUE())-IF(AE21&lt;=35000,Rates!$B$16,0))/12,0.05))</f>
        <v>0</v>
      </c>
      <c r="AG21" s="19" t="n">
        <f aca="false">IF(T21="",AF21,T21)</f>
        <v>0</v>
      </c>
      <c r="AH21" s="19" t="n">
        <f aca="false">Y21+AA21+AC21+AG21+R21</f>
        <v>0</v>
      </c>
      <c r="AI21" s="22" t="n">
        <f aca="false">X21-AH21</f>
        <v>224</v>
      </c>
      <c r="AJ21" s="19" t="n">
        <f aca="false">Z21+AB21+AD21</f>
        <v>0</v>
      </c>
      <c r="AK21" s="19" t="n">
        <f aca="false">X21+AJ21</f>
        <v>224</v>
      </c>
    </row>
    <row r="22" customFormat="false" ht="15" hidden="false" customHeight="false" outlineLevel="0" collapsed="false">
      <c r="A22" s="10"/>
      <c r="B22" s="11" t="s">
        <v>94</v>
      </c>
      <c r="C22" s="11" t="s">
        <v>51</v>
      </c>
      <c r="D22" s="10"/>
      <c r="E22" s="12" t="s">
        <v>76</v>
      </c>
      <c r="F22" s="12" t="s">
        <v>47</v>
      </c>
      <c r="G22" s="12" t="s">
        <v>47</v>
      </c>
      <c r="H22" s="12" t="s">
        <v>47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5" t="n">
        <v>26</v>
      </c>
      <c r="O22" s="16" t="n">
        <v>0</v>
      </c>
      <c r="P22" s="17" t="n">
        <v>87</v>
      </c>
      <c r="Q22" s="13" t="n">
        <v>8</v>
      </c>
      <c r="R22" s="13" t="n">
        <v>0</v>
      </c>
      <c r="S22" s="18" t="n">
        <v>0</v>
      </c>
      <c r="T22" s="13"/>
      <c r="U22" s="19" t="n">
        <f aca="false">IF(N22=0,I22,I22-O22*(I22/N22))</f>
        <v>0</v>
      </c>
      <c r="V22" s="19" t="n">
        <f aca="false">U22+J22+K22+L22+M22</f>
        <v>0</v>
      </c>
      <c r="W22" s="19" t="n">
        <f aca="false">P22*Q22</f>
        <v>696</v>
      </c>
      <c r="X22" s="19" t="n">
        <f aca="false">V22+W22</f>
        <v>696</v>
      </c>
      <c r="Y22" s="20" t="n">
        <f aca="false">IF(G22="Y",ROUNDUP(V22*Rates!$B$5,0),0)</f>
        <v>0</v>
      </c>
      <c r="Z22" s="20" t="n">
        <f aca="false">IF(G22="Y",ROUNDUP(V22*IF(X22&gt;Rates!$B$8,Rates!$B$7,Rates!$B$6),0),0)</f>
        <v>0</v>
      </c>
      <c r="AA22" s="20" t="n">
        <f aca="false">IF(H22="Y",IF(F22="Y",0,VLOOKUP(MIN(V22,Rates!$B$9),Rates!$A$34:$I$97,6,TRUE())),0)</f>
        <v>0</v>
      </c>
      <c r="AB22" s="20" t="n">
        <f aca="false">IF(H22="Y",IF(F22="Y",VLOOKUP(MIN(V22,Rates!$B$9),Rates!$A$34:$I$97,8,TRUE()),VLOOKUP(MIN(V22,Rates!$B$9),Rates!$A$34:$I$97,7,TRUE())),0)</f>
        <v>0</v>
      </c>
      <c r="AC22" s="20" t="n">
        <f aca="false">IF(AND(H22="Y",F22&lt;&gt;"Y"),VLOOKUP(MIN(V22,Rates!$B$9),Rates!$A$34:$I$97,9,TRUE()),0)</f>
        <v>0</v>
      </c>
      <c r="AD22" s="20" t="n">
        <f aca="false">IF(AND(H22="Y",F22&lt;&gt;"Y"),VLOOKUP(MIN(V22,Rates!$B$9),Rates!$A$34:$I$97,9,TRUE()),0)</f>
        <v>0</v>
      </c>
      <c r="AE22" s="21" t="n">
        <f aca="false">MAX(0,V22*12-Rates!$B$14-MIN(Y22*12,Rates!$B$15)-S22)</f>
        <v>0</v>
      </c>
      <c r="AF22" s="20" t="n">
        <f aca="false">MAX(0,MROUND((VLOOKUP(AE22,Rates!$A$21:$C$30,3,TRUE())+(AE22-VLOOKUP(AE22,Rates!$A$21:$C$30,1,TRUE()))*VLOOKUP(AE22,Rates!$A$21:$C$30,2,TRUE())-IF(AE22&lt;=35000,Rates!$B$16,0))/12,0.05))</f>
        <v>0</v>
      </c>
      <c r="AG22" s="19" t="n">
        <f aca="false">IF(T22="",AF22,T22)</f>
        <v>0</v>
      </c>
      <c r="AH22" s="19" t="n">
        <f aca="false">Y22+AA22+AC22+AG22+R22</f>
        <v>0</v>
      </c>
      <c r="AI22" s="22" t="n">
        <f aca="false">X22-AH22</f>
        <v>696</v>
      </c>
      <c r="AJ22" s="19" t="n">
        <f aca="false">Z22+AB22+AD22</f>
        <v>0</v>
      </c>
      <c r="AK22" s="19" t="n">
        <f aca="false">X22+AJ22</f>
        <v>696</v>
      </c>
    </row>
    <row r="23" customFormat="false" ht="15" hidden="false" customHeight="false" outlineLevel="0" collapsed="false">
      <c r="A23" s="24" t="s">
        <v>95</v>
      </c>
      <c r="B23" s="25"/>
      <c r="C23" s="25"/>
      <c r="D23" s="25"/>
      <c r="E23" s="25"/>
      <c r="F23" s="25"/>
      <c r="G23" s="25"/>
      <c r="H23" s="25"/>
      <c r="I23" s="26" t="n">
        <f aca="false">SUM(I5:I22)</f>
        <v>25600</v>
      </c>
      <c r="J23" s="26" t="n">
        <f aca="false">SUM(J5:J22)</f>
        <v>0</v>
      </c>
      <c r="K23" s="26" t="n">
        <f aca="false">SUM(K5:K22)</f>
        <v>400</v>
      </c>
      <c r="L23" s="26" t="n">
        <f aca="false">SUM(L5:L22)</f>
        <v>0</v>
      </c>
      <c r="M23" s="26" t="n">
        <f aca="false">SUM(M5:M22)</f>
        <v>0</v>
      </c>
      <c r="N23" s="25"/>
      <c r="O23" s="25"/>
      <c r="P23" s="25"/>
      <c r="Q23" s="25"/>
      <c r="R23" s="26" t="n">
        <f aca="false">SUM(R5:R22)</f>
        <v>0</v>
      </c>
      <c r="S23" s="25"/>
      <c r="T23" s="25"/>
      <c r="U23" s="26" t="n">
        <f aca="false">SUM(U5:U22)</f>
        <v>25600</v>
      </c>
      <c r="V23" s="26" t="n">
        <f aca="false">SUM(V5:V22)</f>
        <v>26000</v>
      </c>
      <c r="W23" s="26" t="n">
        <f aca="false">SUM(W5:W22)</f>
        <v>4144</v>
      </c>
      <c r="X23" s="26" t="n">
        <f aca="false">SUM(X5:X22)</f>
        <v>30144</v>
      </c>
      <c r="Y23" s="26" t="n">
        <f aca="false">SUM(Y5:Y22)</f>
        <v>2607</v>
      </c>
      <c r="Z23" s="26" t="n">
        <f aca="false">SUM(Z5:Z22)</f>
        <v>3081</v>
      </c>
      <c r="AA23" s="26" t="n">
        <f aca="false">SUM(AA5:AA22)</f>
        <v>116.5</v>
      </c>
      <c r="AB23" s="26" t="n">
        <f aca="false">SUM(AB5:AB22)</f>
        <v>407.95</v>
      </c>
      <c r="AC23" s="26" t="n">
        <f aca="false">SUM(AC5:AC22)</f>
        <v>46.6</v>
      </c>
      <c r="AD23" s="26" t="n">
        <f aca="false">SUM(AD5:AD22)</f>
        <v>46.6</v>
      </c>
      <c r="AE23" s="26" t="n">
        <f aca="false">SUM(AE5:AE22)</f>
        <v>202988</v>
      </c>
      <c r="AF23" s="26" t="n">
        <f aca="false">SUM(AF5:AF22)</f>
        <v>110</v>
      </c>
      <c r="AG23" s="26" t="n">
        <f aca="false">SUM(AG5:AG22)</f>
        <v>110</v>
      </c>
      <c r="AH23" s="26" t="n">
        <f aca="false">SUM(AH5:AH22)</f>
        <v>2880.1</v>
      </c>
      <c r="AI23" s="26" t="n">
        <f aca="false">SUM(AI5:AI22)</f>
        <v>27263.9</v>
      </c>
      <c r="AJ23" s="26" t="n">
        <f aca="false">SUM(AJ5:AJ22)</f>
        <v>3535.55</v>
      </c>
      <c r="AK23" s="26" t="n">
        <f aca="false">SUM(AK5:AK22)</f>
        <v>33679.55</v>
      </c>
    </row>
  </sheetData>
  <mergeCells count="2">
    <mergeCell ref="A1:W1"/>
    <mergeCell ref="X1:AK1"/>
  </mergeCells>
  <dataValidations count="4">
    <dataValidation allowBlank="true" errorStyle="stop" operator="between" showDropDown="false" showErrorMessage="false" showInputMessage="false" sqref="E5:E22" type="list">
      <formula1>"Permanent,Part-time,Foreign"</formula1>
      <formula2>0</formula2>
    </dataValidation>
    <dataValidation allowBlank="true" errorStyle="stop" operator="between" showDropDown="false" showErrorMessage="false" showInputMessage="false" sqref="F5:F22" type="list">
      <formula1>"Y,N"</formula1>
      <formula2>0</formula2>
    </dataValidation>
    <dataValidation allowBlank="true" errorStyle="stop" operator="between" showDropDown="false" showErrorMessage="false" showInputMessage="false" sqref="G5:G22" type="list">
      <formula1>"Y,N"</formula1>
      <formula2>0</formula2>
    </dataValidation>
    <dataValidation allowBlank="true" errorStyle="stop" operator="between" showDropDown="false" showErrorMessage="false" showInputMessage="false" sqref="H5:H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8" min="6" style="0" width="15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27" t="s">
        <v>96</v>
      </c>
    </row>
    <row r="2" customFormat="false" ht="15" hidden="false" customHeight="false" outlineLevel="0" collapsed="false">
      <c r="A2" s="28" t="s">
        <v>97</v>
      </c>
    </row>
    <row r="4" customFormat="false" ht="15" hidden="false" customHeight="false" outlineLevel="0" collapsed="false">
      <c r="A4" s="29" t="s">
        <v>98</v>
      </c>
      <c r="B4" s="9" t="s">
        <v>99</v>
      </c>
      <c r="C4" s="29" t="s">
        <v>100</v>
      </c>
    </row>
    <row r="5" customFormat="false" ht="15" hidden="false" customHeight="false" outlineLevel="0" collapsed="false">
      <c r="A5" s="11" t="s">
        <v>101</v>
      </c>
      <c r="B5" s="30" t="n">
        <v>0.11</v>
      </c>
      <c r="C5" s="31" t="s">
        <v>102</v>
      </c>
    </row>
    <row r="6" customFormat="false" ht="15" hidden="false" customHeight="false" outlineLevel="0" collapsed="false">
      <c r="A6" s="11" t="s">
        <v>103</v>
      </c>
      <c r="B6" s="30" t="n">
        <v>0.13</v>
      </c>
      <c r="C6" s="31" t="s">
        <v>104</v>
      </c>
    </row>
    <row r="7" customFormat="false" ht="15" hidden="false" customHeight="false" outlineLevel="0" collapsed="false">
      <c r="A7" s="11" t="s">
        <v>105</v>
      </c>
      <c r="B7" s="30" t="n">
        <v>0.12</v>
      </c>
      <c r="C7" s="31" t="s">
        <v>106</v>
      </c>
    </row>
    <row r="8" customFormat="false" ht="15" hidden="false" customHeight="false" outlineLevel="0" collapsed="false">
      <c r="A8" s="11" t="s">
        <v>107</v>
      </c>
      <c r="B8" s="32" t="n">
        <v>5000</v>
      </c>
      <c r="C8" s="31" t="s">
        <v>108</v>
      </c>
    </row>
    <row r="9" customFormat="false" ht="15" hidden="false" customHeight="false" outlineLevel="0" collapsed="false">
      <c r="A9" s="11" t="s">
        <v>109</v>
      </c>
      <c r="B9" s="32" t="n">
        <v>6000</v>
      </c>
      <c r="C9" s="31" t="s">
        <v>110</v>
      </c>
    </row>
    <row r="10" customFormat="false" ht="15" hidden="false" customHeight="false" outlineLevel="0" collapsed="false">
      <c r="A10" s="11" t="s">
        <v>111</v>
      </c>
      <c r="B10" s="33" t="n">
        <v>0.005</v>
      </c>
      <c r="C10" s="31" t="s">
        <v>112</v>
      </c>
    </row>
    <row r="11" customFormat="false" ht="15" hidden="false" customHeight="false" outlineLevel="0" collapsed="false">
      <c r="A11" s="11" t="s">
        <v>113</v>
      </c>
      <c r="B11" s="33" t="n">
        <v>0.0175</v>
      </c>
      <c r="C11" s="31" t="s">
        <v>112</v>
      </c>
    </row>
    <row r="12" customFormat="false" ht="15" hidden="false" customHeight="false" outlineLevel="0" collapsed="false">
      <c r="A12" s="11" t="s">
        <v>114</v>
      </c>
      <c r="B12" s="33" t="n">
        <v>0.0125</v>
      </c>
      <c r="C12" s="31" t="s">
        <v>115</v>
      </c>
    </row>
    <row r="13" customFormat="false" ht="15" hidden="false" customHeight="false" outlineLevel="0" collapsed="false">
      <c r="A13" s="11" t="s">
        <v>116</v>
      </c>
      <c r="B13" s="33" t="n">
        <v>0.002</v>
      </c>
      <c r="C13" s="31" t="s">
        <v>117</v>
      </c>
    </row>
    <row r="14" customFormat="false" ht="15" hidden="false" customHeight="false" outlineLevel="0" collapsed="false">
      <c r="A14" s="11" t="s">
        <v>118</v>
      </c>
      <c r="B14" s="32" t="n">
        <v>9000</v>
      </c>
      <c r="C14" s="31" t="s">
        <v>119</v>
      </c>
    </row>
    <row r="15" customFormat="false" ht="15" hidden="false" customHeight="false" outlineLevel="0" collapsed="false">
      <c r="A15" s="11" t="s">
        <v>120</v>
      </c>
      <c r="B15" s="32" t="n">
        <v>4000</v>
      </c>
      <c r="C15" s="31" t="s">
        <v>121</v>
      </c>
    </row>
    <row r="16" customFormat="false" ht="15" hidden="false" customHeight="false" outlineLevel="0" collapsed="false">
      <c r="A16" s="11" t="s">
        <v>122</v>
      </c>
      <c r="B16" s="32" t="n">
        <v>400</v>
      </c>
      <c r="C16" s="31" t="s">
        <v>123</v>
      </c>
    </row>
    <row r="17" customFormat="false" ht="15" hidden="false" customHeight="false" outlineLevel="0" collapsed="false">
      <c r="A17" s="11" t="s">
        <v>124</v>
      </c>
      <c r="B17" s="34" t="n">
        <v>26</v>
      </c>
      <c r="C17" s="31" t="s">
        <v>125</v>
      </c>
    </row>
    <row r="19" customFormat="false" ht="15" hidden="false" customHeight="false" outlineLevel="0" collapsed="false">
      <c r="A19" s="29" t="s">
        <v>126</v>
      </c>
      <c r="B19" s="35"/>
      <c r="C19" s="35"/>
    </row>
    <row r="20" customFormat="false" ht="35.05" hidden="false" customHeight="false" outlineLevel="0" collapsed="false">
      <c r="A20" s="36" t="s">
        <v>127</v>
      </c>
      <c r="B20" s="36" t="s">
        <v>128</v>
      </c>
      <c r="C20" s="36" t="s">
        <v>129</v>
      </c>
    </row>
    <row r="21" customFormat="false" ht="15" hidden="false" customHeight="false" outlineLevel="0" collapsed="false">
      <c r="A21" s="21" t="n">
        <v>0</v>
      </c>
      <c r="B21" s="37" t="n">
        <v>0</v>
      </c>
      <c r="C21" s="21" t="n">
        <v>0</v>
      </c>
    </row>
    <row r="22" customFormat="false" ht="15" hidden="false" customHeight="false" outlineLevel="0" collapsed="false">
      <c r="A22" s="21" t="n">
        <v>5000</v>
      </c>
      <c r="B22" s="37" t="n">
        <v>0.01</v>
      </c>
      <c r="C22" s="21" t="n">
        <v>0</v>
      </c>
    </row>
    <row r="23" customFormat="false" ht="15" hidden="false" customHeight="false" outlineLevel="0" collapsed="false">
      <c r="A23" s="21" t="n">
        <v>20000</v>
      </c>
      <c r="B23" s="37" t="n">
        <v>0.03</v>
      </c>
      <c r="C23" s="21" t="n">
        <v>150</v>
      </c>
    </row>
    <row r="24" customFormat="false" ht="15" hidden="false" customHeight="false" outlineLevel="0" collapsed="false">
      <c r="A24" s="21" t="n">
        <v>35000</v>
      </c>
      <c r="B24" s="37" t="n">
        <v>0.06</v>
      </c>
      <c r="C24" s="21" t="n">
        <v>600</v>
      </c>
    </row>
    <row r="25" customFormat="false" ht="15" hidden="false" customHeight="false" outlineLevel="0" collapsed="false">
      <c r="A25" s="21" t="n">
        <v>50000</v>
      </c>
      <c r="B25" s="37" t="n">
        <v>0.11</v>
      </c>
      <c r="C25" s="21" t="n">
        <v>1500</v>
      </c>
    </row>
    <row r="26" customFormat="false" ht="15" hidden="false" customHeight="false" outlineLevel="0" collapsed="false">
      <c r="A26" s="21" t="n">
        <v>70000</v>
      </c>
      <c r="B26" s="37" t="n">
        <v>0.19</v>
      </c>
      <c r="C26" s="21" t="n">
        <v>3700</v>
      </c>
    </row>
    <row r="27" customFormat="false" ht="15" hidden="false" customHeight="false" outlineLevel="0" collapsed="false">
      <c r="A27" s="21" t="n">
        <v>100000</v>
      </c>
      <c r="B27" s="37" t="n">
        <v>0.25</v>
      </c>
      <c r="C27" s="21" t="n">
        <v>9400</v>
      </c>
    </row>
    <row r="28" customFormat="false" ht="15" hidden="false" customHeight="false" outlineLevel="0" collapsed="false">
      <c r="A28" s="21" t="n">
        <v>400000</v>
      </c>
      <c r="B28" s="37" t="n">
        <v>0.26</v>
      </c>
      <c r="C28" s="21" t="n">
        <v>84400</v>
      </c>
    </row>
    <row r="29" customFormat="false" ht="15" hidden="false" customHeight="false" outlineLevel="0" collapsed="false">
      <c r="A29" s="21" t="n">
        <v>600000</v>
      </c>
      <c r="B29" s="37" t="n">
        <v>0.28</v>
      </c>
      <c r="C29" s="21" t="n">
        <v>136400</v>
      </c>
    </row>
    <row r="30" customFormat="false" ht="15" hidden="false" customHeight="false" outlineLevel="0" collapsed="false">
      <c r="A30" s="21" t="n">
        <v>2000000</v>
      </c>
      <c r="B30" s="37" t="n">
        <v>0.3</v>
      </c>
      <c r="C30" s="21" t="n">
        <v>528400</v>
      </c>
    </row>
    <row r="32" customFormat="false" ht="15" hidden="false" customHeight="false" outlineLevel="0" collapsed="false">
      <c r="A32" s="29" t="s">
        <v>130</v>
      </c>
      <c r="B32" s="35"/>
      <c r="C32" s="35"/>
      <c r="D32" s="35"/>
      <c r="E32" s="35"/>
      <c r="F32" s="35"/>
      <c r="G32" s="35"/>
      <c r="H32" s="35"/>
      <c r="I32" s="35"/>
    </row>
    <row r="33" customFormat="false" ht="23.85" hidden="false" customHeight="false" outlineLevel="0" collapsed="false">
      <c r="A33" s="36" t="s">
        <v>131</v>
      </c>
      <c r="B33" s="36" t="s">
        <v>132</v>
      </c>
      <c r="C33" s="36" t="s">
        <v>133</v>
      </c>
      <c r="D33" s="36" t="s">
        <v>134</v>
      </c>
      <c r="E33" s="36" t="s">
        <v>135</v>
      </c>
      <c r="F33" s="36" t="s">
        <v>136</v>
      </c>
      <c r="G33" s="36" t="s">
        <v>137</v>
      </c>
      <c r="H33" s="36" t="s">
        <v>138</v>
      </c>
      <c r="I33" s="36" t="s">
        <v>139</v>
      </c>
    </row>
    <row r="34" customFormat="false" ht="15" hidden="false" customHeight="false" outlineLevel="0" collapsed="false">
      <c r="A34" s="38" t="n">
        <v>0</v>
      </c>
      <c r="B34" s="11" t="s">
        <v>140</v>
      </c>
      <c r="C34" s="21" t="n">
        <v>0</v>
      </c>
      <c r="D34" s="21" t="n">
        <v>30</v>
      </c>
      <c r="E34" s="21" t="n">
        <f aca="false">(C34+D34)/2</f>
        <v>15</v>
      </c>
      <c r="F34" s="19" t="n">
        <f aca="false">MROUND(Rates!$B$10*E34,0.05)</f>
        <v>0.1</v>
      </c>
      <c r="G34" s="19" t="n">
        <f aca="false">MROUND(Rates!$B$11*E34,0.05)</f>
        <v>0.25</v>
      </c>
      <c r="H34" s="19" t="n">
        <f aca="false">MROUND(Rates!$B$12*E34,0.05)</f>
        <v>0.2</v>
      </c>
      <c r="I34" s="19" t="n">
        <f aca="false">MROUND(Rates!$B$13*E34,0.05)</f>
        <v>0.05</v>
      </c>
    </row>
    <row r="35" customFormat="false" ht="15" hidden="false" customHeight="false" outlineLevel="0" collapsed="false">
      <c r="A35" s="38" t="n">
        <v>30.01</v>
      </c>
      <c r="B35" s="11" t="s">
        <v>141</v>
      </c>
      <c r="C35" s="21" t="n">
        <v>30</v>
      </c>
      <c r="D35" s="21" t="n">
        <v>50</v>
      </c>
      <c r="E35" s="21" t="n">
        <f aca="false">(C35+D35)/2</f>
        <v>40</v>
      </c>
      <c r="F35" s="19" t="n">
        <f aca="false">MROUND(Rates!$B$10*E35,0.05)</f>
        <v>0.2</v>
      </c>
      <c r="G35" s="19" t="n">
        <f aca="false">MROUND(Rates!$B$11*E35,0.05)</f>
        <v>0.7</v>
      </c>
      <c r="H35" s="19" t="n">
        <f aca="false">MROUND(Rates!$B$12*E35,0.05)</f>
        <v>0.5</v>
      </c>
      <c r="I35" s="19" t="n">
        <f aca="false">MROUND(Rates!$B$13*E35,0.05)</f>
        <v>0.1</v>
      </c>
    </row>
    <row r="36" customFormat="false" ht="15" hidden="false" customHeight="false" outlineLevel="0" collapsed="false">
      <c r="A36" s="38" t="n">
        <v>50.01</v>
      </c>
      <c r="B36" s="11" t="s">
        <v>142</v>
      </c>
      <c r="C36" s="21" t="n">
        <v>50</v>
      </c>
      <c r="D36" s="21" t="n">
        <v>70</v>
      </c>
      <c r="E36" s="21" t="n">
        <f aca="false">(C36+D36)/2</f>
        <v>60</v>
      </c>
      <c r="F36" s="19" t="n">
        <f aca="false">MROUND(Rates!$B$10*E36,0.05)</f>
        <v>0.3</v>
      </c>
      <c r="G36" s="19" t="n">
        <f aca="false">MROUND(Rates!$B$11*E36,0.05)</f>
        <v>1.05</v>
      </c>
      <c r="H36" s="19" t="n">
        <f aca="false">MROUND(Rates!$B$12*E36,0.05)</f>
        <v>0.75</v>
      </c>
      <c r="I36" s="19" t="n">
        <f aca="false">MROUND(Rates!$B$13*E36,0.05)</f>
        <v>0.1</v>
      </c>
    </row>
    <row r="37" customFormat="false" ht="15" hidden="false" customHeight="false" outlineLevel="0" collapsed="false">
      <c r="A37" s="38" t="n">
        <v>70.01</v>
      </c>
      <c r="B37" s="11" t="s">
        <v>143</v>
      </c>
      <c r="C37" s="21" t="n">
        <v>70</v>
      </c>
      <c r="D37" s="21" t="n">
        <v>100</v>
      </c>
      <c r="E37" s="21" t="n">
        <f aca="false">(C37+D37)/2</f>
        <v>85</v>
      </c>
      <c r="F37" s="19" t="n">
        <f aca="false">MROUND(Rates!$B$10*E37,0.05)</f>
        <v>0.45</v>
      </c>
      <c r="G37" s="19" t="n">
        <f aca="false">MROUND(Rates!$B$11*E37,0.05)</f>
        <v>1.5</v>
      </c>
      <c r="H37" s="19" t="n">
        <f aca="false">MROUND(Rates!$B$12*E37,0.05)</f>
        <v>1.05</v>
      </c>
      <c r="I37" s="19" t="n">
        <f aca="false">MROUND(Rates!$B$13*E37,0.05)</f>
        <v>0.15</v>
      </c>
    </row>
    <row r="38" customFormat="false" ht="15" hidden="false" customHeight="false" outlineLevel="0" collapsed="false">
      <c r="A38" s="38" t="n">
        <v>100.01</v>
      </c>
      <c r="B38" s="11" t="s">
        <v>144</v>
      </c>
      <c r="C38" s="21" t="n">
        <v>100</v>
      </c>
      <c r="D38" s="21" t="n">
        <v>200</v>
      </c>
      <c r="E38" s="21" t="n">
        <f aca="false">(C38+D38)/2</f>
        <v>150</v>
      </c>
      <c r="F38" s="19" t="n">
        <f aca="false">MROUND(Rates!$B$10*E38,0.05)</f>
        <v>0.75</v>
      </c>
      <c r="G38" s="19" t="n">
        <f aca="false">MROUND(Rates!$B$11*E38,0.05)</f>
        <v>2.65</v>
      </c>
      <c r="H38" s="19" t="n">
        <f aca="false">MROUND(Rates!$B$12*E38,0.05)</f>
        <v>1.9</v>
      </c>
      <c r="I38" s="19" t="n">
        <f aca="false">MROUND(Rates!$B$13*E38,0.05)</f>
        <v>0.3</v>
      </c>
    </row>
    <row r="39" customFormat="false" ht="15" hidden="false" customHeight="false" outlineLevel="0" collapsed="false">
      <c r="A39" s="38" t="n">
        <v>200.01</v>
      </c>
      <c r="B39" s="11" t="s">
        <v>145</v>
      </c>
      <c r="C39" s="21" t="n">
        <v>200</v>
      </c>
      <c r="D39" s="21" t="n">
        <v>300</v>
      </c>
      <c r="E39" s="21" t="n">
        <f aca="false">(C39+D39)/2</f>
        <v>250</v>
      </c>
      <c r="F39" s="19" t="n">
        <f aca="false">MROUND(Rates!$B$10*E39,0.05)</f>
        <v>1.25</v>
      </c>
      <c r="G39" s="19" t="n">
        <f aca="false">MROUND(Rates!$B$11*E39,0.05)</f>
        <v>4.4</v>
      </c>
      <c r="H39" s="19" t="n">
        <f aca="false">MROUND(Rates!$B$12*E39,0.05)</f>
        <v>3.15</v>
      </c>
      <c r="I39" s="19" t="n">
        <f aca="false">MROUND(Rates!$B$13*E39,0.05)</f>
        <v>0.5</v>
      </c>
    </row>
    <row r="40" customFormat="false" ht="15" hidden="false" customHeight="false" outlineLevel="0" collapsed="false">
      <c r="A40" s="38" t="n">
        <v>300.01</v>
      </c>
      <c r="B40" s="11" t="s">
        <v>146</v>
      </c>
      <c r="C40" s="21" t="n">
        <v>300</v>
      </c>
      <c r="D40" s="21" t="n">
        <v>400</v>
      </c>
      <c r="E40" s="21" t="n">
        <f aca="false">(C40+D40)/2</f>
        <v>350</v>
      </c>
      <c r="F40" s="19" t="n">
        <f aca="false">MROUND(Rates!$B$10*E40,0.05)</f>
        <v>1.75</v>
      </c>
      <c r="G40" s="19" t="n">
        <f aca="false">MROUND(Rates!$B$11*E40,0.05)</f>
        <v>6.15</v>
      </c>
      <c r="H40" s="19" t="n">
        <f aca="false">MROUND(Rates!$B$12*E40,0.05)</f>
        <v>4.4</v>
      </c>
      <c r="I40" s="19" t="n">
        <f aca="false">MROUND(Rates!$B$13*E40,0.05)</f>
        <v>0.7</v>
      </c>
    </row>
    <row r="41" customFormat="false" ht="15" hidden="false" customHeight="false" outlineLevel="0" collapsed="false">
      <c r="A41" s="38" t="n">
        <v>400.01</v>
      </c>
      <c r="B41" s="11" t="s">
        <v>147</v>
      </c>
      <c r="C41" s="21" t="n">
        <v>400</v>
      </c>
      <c r="D41" s="21" t="n">
        <v>500</v>
      </c>
      <c r="E41" s="21" t="n">
        <f aca="false">(C41+D41)/2</f>
        <v>450</v>
      </c>
      <c r="F41" s="19" t="n">
        <f aca="false">MROUND(Rates!$B$10*E41,0.05)</f>
        <v>2.25</v>
      </c>
      <c r="G41" s="19" t="n">
        <f aca="false">MROUND(Rates!$B$11*E41,0.05)</f>
        <v>7.9</v>
      </c>
      <c r="H41" s="19" t="n">
        <f aca="false">MROUND(Rates!$B$12*E41,0.05)</f>
        <v>5.65</v>
      </c>
      <c r="I41" s="19" t="n">
        <f aca="false">MROUND(Rates!$B$13*E41,0.05)</f>
        <v>0.9</v>
      </c>
    </row>
    <row r="42" customFormat="false" ht="15" hidden="false" customHeight="false" outlineLevel="0" collapsed="false">
      <c r="A42" s="38" t="n">
        <v>500.01</v>
      </c>
      <c r="B42" s="11" t="s">
        <v>148</v>
      </c>
      <c r="C42" s="21" t="n">
        <v>500</v>
      </c>
      <c r="D42" s="21" t="n">
        <v>600</v>
      </c>
      <c r="E42" s="21" t="n">
        <f aca="false">(C42+D42)/2</f>
        <v>550</v>
      </c>
      <c r="F42" s="19" t="n">
        <f aca="false">MROUND(Rates!$B$10*E42,0.05)</f>
        <v>2.75</v>
      </c>
      <c r="G42" s="19" t="n">
        <f aca="false">MROUND(Rates!$B$11*E42,0.05)</f>
        <v>9.65</v>
      </c>
      <c r="H42" s="19" t="n">
        <f aca="false">MROUND(Rates!$B$12*E42,0.05)</f>
        <v>6.9</v>
      </c>
      <c r="I42" s="19" t="n">
        <f aca="false">MROUND(Rates!$B$13*E42,0.05)</f>
        <v>1.1</v>
      </c>
    </row>
    <row r="43" customFormat="false" ht="15" hidden="false" customHeight="false" outlineLevel="0" collapsed="false">
      <c r="A43" s="38" t="n">
        <v>600.01</v>
      </c>
      <c r="B43" s="11" t="s">
        <v>149</v>
      </c>
      <c r="C43" s="21" t="n">
        <v>600</v>
      </c>
      <c r="D43" s="21" t="n">
        <v>700</v>
      </c>
      <c r="E43" s="21" t="n">
        <f aca="false">(C43+D43)/2</f>
        <v>650</v>
      </c>
      <c r="F43" s="19" t="n">
        <f aca="false">MROUND(Rates!$B$10*E43,0.05)</f>
        <v>3.25</v>
      </c>
      <c r="G43" s="19" t="n">
        <f aca="false">MROUND(Rates!$B$11*E43,0.05)</f>
        <v>11.4</v>
      </c>
      <c r="H43" s="19" t="n">
        <f aca="false">MROUND(Rates!$B$12*E43,0.05)</f>
        <v>8.15</v>
      </c>
      <c r="I43" s="19" t="n">
        <f aca="false">MROUND(Rates!$B$13*E43,0.05)</f>
        <v>1.3</v>
      </c>
    </row>
    <row r="44" customFormat="false" ht="15" hidden="false" customHeight="false" outlineLevel="0" collapsed="false">
      <c r="A44" s="38" t="n">
        <v>700.01</v>
      </c>
      <c r="B44" s="11" t="s">
        <v>150</v>
      </c>
      <c r="C44" s="21" t="n">
        <v>700</v>
      </c>
      <c r="D44" s="21" t="n">
        <v>800</v>
      </c>
      <c r="E44" s="21" t="n">
        <f aca="false">(C44+D44)/2</f>
        <v>750</v>
      </c>
      <c r="F44" s="19" t="n">
        <f aca="false">MROUND(Rates!$B$10*E44,0.05)</f>
        <v>3.75</v>
      </c>
      <c r="G44" s="19" t="n">
        <f aca="false">MROUND(Rates!$B$11*E44,0.05)</f>
        <v>13.15</v>
      </c>
      <c r="H44" s="19" t="n">
        <f aca="false">MROUND(Rates!$B$12*E44,0.05)</f>
        <v>9.4</v>
      </c>
      <c r="I44" s="19" t="n">
        <f aca="false">MROUND(Rates!$B$13*E44,0.05)</f>
        <v>1.5</v>
      </c>
    </row>
    <row r="45" customFormat="false" ht="15" hidden="false" customHeight="false" outlineLevel="0" collapsed="false">
      <c r="A45" s="38" t="n">
        <v>800.01</v>
      </c>
      <c r="B45" s="11" t="s">
        <v>151</v>
      </c>
      <c r="C45" s="21" t="n">
        <v>800</v>
      </c>
      <c r="D45" s="21" t="n">
        <v>900</v>
      </c>
      <c r="E45" s="21" t="n">
        <f aca="false">(C45+D45)/2</f>
        <v>850</v>
      </c>
      <c r="F45" s="19" t="n">
        <f aca="false">MROUND(Rates!$B$10*E45,0.05)</f>
        <v>4.25</v>
      </c>
      <c r="G45" s="19" t="n">
        <f aca="false">MROUND(Rates!$B$11*E45,0.05)</f>
        <v>14.9</v>
      </c>
      <c r="H45" s="19" t="n">
        <f aca="false">MROUND(Rates!$B$12*E45,0.05)</f>
        <v>10.65</v>
      </c>
      <c r="I45" s="19" t="n">
        <f aca="false">MROUND(Rates!$B$13*E45,0.05)</f>
        <v>1.7</v>
      </c>
    </row>
    <row r="46" customFormat="false" ht="15" hidden="false" customHeight="false" outlineLevel="0" collapsed="false">
      <c r="A46" s="38" t="n">
        <v>900.01</v>
      </c>
      <c r="B46" s="11" t="s">
        <v>152</v>
      </c>
      <c r="C46" s="21" t="n">
        <v>900</v>
      </c>
      <c r="D46" s="21" t="n">
        <v>1000</v>
      </c>
      <c r="E46" s="21" t="n">
        <f aca="false">(C46+D46)/2</f>
        <v>950</v>
      </c>
      <c r="F46" s="19" t="n">
        <f aca="false">MROUND(Rates!$B$10*E46,0.05)</f>
        <v>4.75</v>
      </c>
      <c r="G46" s="19" t="n">
        <f aca="false">MROUND(Rates!$B$11*E46,0.05)</f>
        <v>16.65</v>
      </c>
      <c r="H46" s="19" t="n">
        <f aca="false">MROUND(Rates!$B$12*E46,0.05)</f>
        <v>11.9</v>
      </c>
      <c r="I46" s="19" t="n">
        <f aca="false">MROUND(Rates!$B$13*E46,0.05)</f>
        <v>1.9</v>
      </c>
    </row>
    <row r="47" customFormat="false" ht="15" hidden="false" customHeight="false" outlineLevel="0" collapsed="false">
      <c r="A47" s="38" t="n">
        <v>1000.01</v>
      </c>
      <c r="B47" s="11" t="s">
        <v>153</v>
      </c>
      <c r="C47" s="21" t="n">
        <v>1000</v>
      </c>
      <c r="D47" s="21" t="n">
        <v>1100</v>
      </c>
      <c r="E47" s="21" t="n">
        <f aca="false">(C47+D47)/2</f>
        <v>1050</v>
      </c>
      <c r="F47" s="19" t="n">
        <f aca="false">MROUND(Rates!$B$10*E47,0.05)</f>
        <v>5.25</v>
      </c>
      <c r="G47" s="19" t="n">
        <f aca="false">MROUND(Rates!$B$11*E47,0.05)</f>
        <v>18.4</v>
      </c>
      <c r="H47" s="19" t="n">
        <f aca="false">MROUND(Rates!$B$12*E47,0.05)</f>
        <v>13.15</v>
      </c>
      <c r="I47" s="19" t="n">
        <f aca="false">MROUND(Rates!$B$13*E47,0.05)</f>
        <v>2.1</v>
      </c>
    </row>
    <row r="48" customFormat="false" ht="15" hidden="false" customHeight="false" outlineLevel="0" collapsed="false">
      <c r="A48" s="38" t="n">
        <v>1100.01</v>
      </c>
      <c r="B48" s="11" t="s">
        <v>154</v>
      </c>
      <c r="C48" s="21" t="n">
        <v>1100</v>
      </c>
      <c r="D48" s="21" t="n">
        <v>1200</v>
      </c>
      <c r="E48" s="21" t="n">
        <f aca="false">(C48+D48)/2</f>
        <v>1150</v>
      </c>
      <c r="F48" s="19" t="n">
        <f aca="false">MROUND(Rates!$B$10*E48,0.05)</f>
        <v>5.75</v>
      </c>
      <c r="G48" s="19" t="n">
        <f aca="false">MROUND(Rates!$B$11*E48,0.05)</f>
        <v>20.15</v>
      </c>
      <c r="H48" s="19" t="n">
        <f aca="false">MROUND(Rates!$B$12*E48,0.05)</f>
        <v>14.4</v>
      </c>
      <c r="I48" s="19" t="n">
        <f aca="false">MROUND(Rates!$B$13*E48,0.05)</f>
        <v>2.3</v>
      </c>
    </row>
    <row r="49" customFormat="false" ht="15" hidden="false" customHeight="false" outlineLevel="0" collapsed="false">
      <c r="A49" s="38" t="n">
        <v>1200.01</v>
      </c>
      <c r="B49" s="11" t="s">
        <v>155</v>
      </c>
      <c r="C49" s="21" t="n">
        <v>1200</v>
      </c>
      <c r="D49" s="21" t="n">
        <v>1300</v>
      </c>
      <c r="E49" s="21" t="n">
        <f aca="false">(C49+D49)/2</f>
        <v>1250</v>
      </c>
      <c r="F49" s="19" t="n">
        <f aca="false">MROUND(Rates!$B$10*E49,0.05)</f>
        <v>6.25</v>
      </c>
      <c r="G49" s="19" t="n">
        <f aca="false">MROUND(Rates!$B$11*E49,0.05)</f>
        <v>21.9</v>
      </c>
      <c r="H49" s="19" t="n">
        <f aca="false">MROUND(Rates!$B$12*E49,0.05)</f>
        <v>15.65</v>
      </c>
      <c r="I49" s="19" t="n">
        <f aca="false">MROUND(Rates!$B$13*E49,0.05)</f>
        <v>2.5</v>
      </c>
    </row>
    <row r="50" customFormat="false" ht="15" hidden="false" customHeight="false" outlineLevel="0" collapsed="false">
      <c r="A50" s="38" t="n">
        <v>1300.01</v>
      </c>
      <c r="B50" s="11" t="s">
        <v>156</v>
      </c>
      <c r="C50" s="21" t="n">
        <v>1300</v>
      </c>
      <c r="D50" s="21" t="n">
        <v>1400</v>
      </c>
      <c r="E50" s="21" t="n">
        <f aca="false">(C50+D50)/2</f>
        <v>1350</v>
      </c>
      <c r="F50" s="19" t="n">
        <f aca="false">MROUND(Rates!$B$10*E50,0.05)</f>
        <v>6.75</v>
      </c>
      <c r="G50" s="19" t="n">
        <f aca="false">MROUND(Rates!$B$11*E50,0.05)</f>
        <v>23.65</v>
      </c>
      <c r="H50" s="19" t="n">
        <f aca="false">MROUND(Rates!$B$12*E50,0.05)</f>
        <v>16.9</v>
      </c>
      <c r="I50" s="19" t="n">
        <f aca="false">MROUND(Rates!$B$13*E50,0.05)</f>
        <v>2.7</v>
      </c>
    </row>
    <row r="51" customFormat="false" ht="15" hidden="false" customHeight="false" outlineLevel="0" collapsed="false">
      <c r="A51" s="38" t="n">
        <v>1400.01</v>
      </c>
      <c r="B51" s="11" t="s">
        <v>157</v>
      </c>
      <c r="C51" s="21" t="n">
        <v>1400</v>
      </c>
      <c r="D51" s="21" t="n">
        <v>1500</v>
      </c>
      <c r="E51" s="21" t="n">
        <f aca="false">(C51+D51)/2</f>
        <v>1450</v>
      </c>
      <c r="F51" s="19" t="n">
        <f aca="false">MROUND(Rates!$B$10*E51,0.05)</f>
        <v>7.25</v>
      </c>
      <c r="G51" s="19" t="n">
        <f aca="false">MROUND(Rates!$B$11*E51,0.05)</f>
        <v>25.4</v>
      </c>
      <c r="H51" s="19" t="n">
        <f aca="false">MROUND(Rates!$B$12*E51,0.05)</f>
        <v>18.15</v>
      </c>
      <c r="I51" s="19" t="n">
        <f aca="false">MROUND(Rates!$B$13*E51,0.05)</f>
        <v>2.9</v>
      </c>
    </row>
    <row r="52" customFormat="false" ht="15" hidden="false" customHeight="false" outlineLevel="0" collapsed="false">
      <c r="A52" s="38" t="n">
        <v>1500.01</v>
      </c>
      <c r="B52" s="11" t="s">
        <v>158</v>
      </c>
      <c r="C52" s="21" t="n">
        <v>1500</v>
      </c>
      <c r="D52" s="21" t="n">
        <v>1600</v>
      </c>
      <c r="E52" s="21" t="n">
        <f aca="false">(C52+D52)/2</f>
        <v>1550</v>
      </c>
      <c r="F52" s="19" t="n">
        <f aca="false">MROUND(Rates!$B$10*E52,0.05)</f>
        <v>7.75</v>
      </c>
      <c r="G52" s="19" t="n">
        <f aca="false">MROUND(Rates!$B$11*E52,0.05)</f>
        <v>27.15</v>
      </c>
      <c r="H52" s="19" t="n">
        <f aca="false">MROUND(Rates!$B$12*E52,0.05)</f>
        <v>19.4</v>
      </c>
      <c r="I52" s="19" t="n">
        <f aca="false">MROUND(Rates!$B$13*E52,0.05)</f>
        <v>3.1</v>
      </c>
    </row>
    <row r="53" customFormat="false" ht="15" hidden="false" customHeight="false" outlineLevel="0" collapsed="false">
      <c r="A53" s="38" t="n">
        <v>1600.01</v>
      </c>
      <c r="B53" s="11" t="s">
        <v>159</v>
      </c>
      <c r="C53" s="21" t="n">
        <v>1600</v>
      </c>
      <c r="D53" s="21" t="n">
        <v>1700</v>
      </c>
      <c r="E53" s="21" t="n">
        <f aca="false">(C53+D53)/2</f>
        <v>1650</v>
      </c>
      <c r="F53" s="19" t="n">
        <f aca="false">MROUND(Rates!$B$10*E53,0.05)</f>
        <v>8.25</v>
      </c>
      <c r="G53" s="19" t="n">
        <f aca="false">MROUND(Rates!$B$11*E53,0.05)</f>
        <v>28.9</v>
      </c>
      <c r="H53" s="19" t="n">
        <f aca="false">MROUND(Rates!$B$12*E53,0.05)</f>
        <v>20.65</v>
      </c>
      <c r="I53" s="19" t="n">
        <f aca="false">MROUND(Rates!$B$13*E53,0.05)</f>
        <v>3.3</v>
      </c>
    </row>
    <row r="54" customFormat="false" ht="15" hidden="false" customHeight="false" outlineLevel="0" collapsed="false">
      <c r="A54" s="38" t="n">
        <v>1700.01</v>
      </c>
      <c r="B54" s="11" t="s">
        <v>160</v>
      </c>
      <c r="C54" s="21" t="n">
        <v>1700</v>
      </c>
      <c r="D54" s="21" t="n">
        <v>1800</v>
      </c>
      <c r="E54" s="21" t="n">
        <f aca="false">(C54+D54)/2</f>
        <v>1750</v>
      </c>
      <c r="F54" s="19" t="n">
        <f aca="false">MROUND(Rates!$B$10*E54,0.05)</f>
        <v>8.75</v>
      </c>
      <c r="G54" s="19" t="n">
        <f aca="false">MROUND(Rates!$B$11*E54,0.05)</f>
        <v>30.65</v>
      </c>
      <c r="H54" s="19" t="n">
        <f aca="false">MROUND(Rates!$B$12*E54,0.05)</f>
        <v>21.9</v>
      </c>
      <c r="I54" s="19" t="n">
        <f aca="false">MROUND(Rates!$B$13*E54,0.05)</f>
        <v>3.5</v>
      </c>
    </row>
    <row r="55" customFormat="false" ht="15" hidden="false" customHeight="false" outlineLevel="0" collapsed="false">
      <c r="A55" s="38" t="n">
        <v>1800.01</v>
      </c>
      <c r="B55" s="11" t="s">
        <v>161</v>
      </c>
      <c r="C55" s="21" t="n">
        <v>1800</v>
      </c>
      <c r="D55" s="21" t="n">
        <v>1900</v>
      </c>
      <c r="E55" s="21" t="n">
        <f aca="false">(C55+D55)/2</f>
        <v>1850</v>
      </c>
      <c r="F55" s="19" t="n">
        <f aca="false">MROUND(Rates!$B$10*E55,0.05)</f>
        <v>9.25</v>
      </c>
      <c r="G55" s="19" t="n">
        <f aca="false">MROUND(Rates!$B$11*E55,0.05)</f>
        <v>32.4</v>
      </c>
      <c r="H55" s="19" t="n">
        <f aca="false">MROUND(Rates!$B$12*E55,0.05)</f>
        <v>23.15</v>
      </c>
      <c r="I55" s="19" t="n">
        <f aca="false">MROUND(Rates!$B$13*E55,0.05)</f>
        <v>3.7</v>
      </c>
    </row>
    <row r="56" customFormat="false" ht="15" hidden="false" customHeight="false" outlineLevel="0" collapsed="false">
      <c r="A56" s="38" t="n">
        <v>1900.01</v>
      </c>
      <c r="B56" s="11" t="s">
        <v>162</v>
      </c>
      <c r="C56" s="21" t="n">
        <v>1900</v>
      </c>
      <c r="D56" s="21" t="n">
        <v>2000</v>
      </c>
      <c r="E56" s="21" t="n">
        <f aca="false">(C56+D56)/2</f>
        <v>1950</v>
      </c>
      <c r="F56" s="19" t="n">
        <f aca="false">MROUND(Rates!$B$10*E56,0.05)</f>
        <v>9.75</v>
      </c>
      <c r="G56" s="19" t="n">
        <f aca="false">MROUND(Rates!$B$11*E56,0.05)</f>
        <v>34.15</v>
      </c>
      <c r="H56" s="19" t="n">
        <f aca="false">MROUND(Rates!$B$12*E56,0.05)</f>
        <v>24.4</v>
      </c>
      <c r="I56" s="19" t="n">
        <f aca="false">MROUND(Rates!$B$13*E56,0.05)</f>
        <v>3.9</v>
      </c>
    </row>
    <row r="57" customFormat="false" ht="15" hidden="false" customHeight="false" outlineLevel="0" collapsed="false">
      <c r="A57" s="38" t="n">
        <v>2000.01</v>
      </c>
      <c r="B57" s="11" t="s">
        <v>163</v>
      </c>
      <c r="C57" s="21" t="n">
        <v>2000</v>
      </c>
      <c r="D57" s="21" t="n">
        <v>2100</v>
      </c>
      <c r="E57" s="21" t="n">
        <f aca="false">(C57+D57)/2</f>
        <v>2050</v>
      </c>
      <c r="F57" s="19" t="n">
        <f aca="false">MROUND(Rates!$B$10*E57,0.05)</f>
        <v>10.25</v>
      </c>
      <c r="G57" s="19" t="n">
        <f aca="false">MROUND(Rates!$B$11*E57,0.05)</f>
        <v>35.9</v>
      </c>
      <c r="H57" s="19" t="n">
        <f aca="false">MROUND(Rates!$B$12*E57,0.05)</f>
        <v>25.65</v>
      </c>
      <c r="I57" s="19" t="n">
        <f aca="false">MROUND(Rates!$B$13*E57,0.05)</f>
        <v>4.1</v>
      </c>
    </row>
    <row r="58" customFormat="false" ht="15" hidden="false" customHeight="false" outlineLevel="0" collapsed="false">
      <c r="A58" s="38" t="n">
        <v>2100.01</v>
      </c>
      <c r="B58" s="11" t="s">
        <v>164</v>
      </c>
      <c r="C58" s="21" t="n">
        <v>2100</v>
      </c>
      <c r="D58" s="21" t="n">
        <v>2200</v>
      </c>
      <c r="E58" s="21" t="n">
        <f aca="false">(C58+D58)/2</f>
        <v>2150</v>
      </c>
      <c r="F58" s="19" t="n">
        <f aca="false">MROUND(Rates!$B$10*E58,0.05)</f>
        <v>10.75</v>
      </c>
      <c r="G58" s="19" t="n">
        <f aca="false">MROUND(Rates!$B$11*E58,0.05)</f>
        <v>37.65</v>
      </c>
      <c r="H58" s="19" t="n">
        <f aca="false">MROUND(Rates!$B$12*E58,0.05)</f>
        <v>26.9</v>
      </c>
      <c r="I58" s="19" t="n">
        <f aca="false">MROUND(Rates!$B$13*E58,0.05)</f>
        <v>4.3</v>
      </c>
    </row>
    <row r="59" customFormat="false" ht="15" hidden="false" customHeight="false" outlineLevel="0" collapsed="false">
      <c r="A59" s="38" t="n">
        <v>2200.01</v>
      </c>
      <c r="B59" s="11" t="s">
        <v>165</v>
      </c>
      <c r="C59" s="21" t="n">
        <v>2200</v>
      </c>
      <c r="D59" s="21" t="n">
        <v>2300</v>
      </c>
      <c r="E59" s="21" t="n">
        <f aca="false">(C59+D59)/2</f>
        <v>2250</v>
      </c>
      <c r="F59" s="19" t="n">
        <f aca="false">MROUND(Rates!$B$10*E59,0.05)</f>
        <v>11.25</v>
      </c>
      <c r="G59" s="19" t="n">
        <f aca="false">MROUND(Rates!$B$11*E59,0.05)</f>
        <v>39.4</v>
      </c>
      <c r="H59" s="19" t="n">
        <f aca="false">MROUND(Rates!$B$12*E59,0.05)</f>
        <v>28.15</v>
      </c>
      <c r="I59" s="19" t="n">
        <f aca="false">MROUND(Rates!$B$13*E59,0.05)</f>
        <v>4.5</v>
      </c>
    </row>
    <row r="60" customFormat="false" ht="15" hidden="false" customHeight="false" outlineLevel="0" collapsed="false">
      <c r="A60" s="38" t="n">
        <v>2300.01</v>
      </c>
      <c r="B60" s="11" t="s">
        <v>166</v>
      </c>
      <c r="C60" s="21" t="n">
        <v>2300</v>
      </c>
      <c r="D60" s="21" t="n">
        <v>2400</v>
      </c>
      <c r="E60" s="21" t="n">
        <f aca="false">(C60+D60)/2</f>
        <v>2350</v>
      </c>
      <c r="F60" s="19" t="n">
        <f aca="false">MROUND(Rates!$B$10*E60,0.05)</f>
        <v>11.75</v>
      </c>
      <c r="G60" s="19" t="n">
        <f aca="false">MROUND(Rates!$B$11*E60,0.05)</f>
        <v>41.15</v>
      </c>
      <c r="H60" s="19" t="n">
        <f aca="false">MROUND(Rates!$B$12*E60,0.05)</f>
        <v>29.4</v>
      </c>
      <c r="I60" s="19" t="n">
        <f aca="false">MROUND(Rates!$B$13*E60,0.05)</f>
        <v>4.7</v>
      </c>
    </row>
    <row r="61" customFormat="false" ht="15" hidden="false" customHeight="false" outlineLevel="0" collapsed="false">
      <c r="A61" s="38" t="n">
        <v>2400.01</v>
      </c>
      <c r="B61" s="11" t="s">
        <v>167</v>
      </c>
      <c r="C61" s="21" t="n">
        <v>2400</v>
      </c>
      <c r="D61" s="21" t="n">
        <v>2500</v>
      </c>
      <c r="E61" s="21" t="n">
        <f aca="false">(C61+D61)/2</f>
        <v>2450</v>
      </c>
      <c r="F61" s="19" t="n">
        <f aca="false">MROUND(Rates!$B$10*E61,0.05)</f>
        <v>12.25</v>
      </c>
      <c r="G61" s="19" t="n">
        <f aca="false">MROUND(Rates!$B$11*E61,0.05)</f>
        <v>42.9</v>
      </c>
      <c r="H61" s="19" t="n">
        <f aca="false">MROUND(Rates!$B$12*E61,0.05)</f>
        <v>30.65</v>
      </c>
      <c r="I61" s="19" t="n">
        <f aca="false">MROUND(Rates!$B$13*E61,0.05)</f>
        <v>4.9</v>
      </c>
    </row>
    <row r="62" customFormat="false" ht="15" hidden="false" customHeight="false" outlineLevel="0" collapsed="false">
      <c r="A62" s="38" t="n">
        <v>2500.01</v>
      </c>
      <c r="B62" s="11" t="s">
        <v>168</v>
      </c>
      <c r="C62" s="21" t="n">
        <v>2500</v>
      </c>
      <c r="D62" s="21" t="n">
        <v>2600</v>
      </c>
      <c r="E62" s="21" t="n">
        <f aca="false">(C62+D62)/2</f>
        <v>2550</v>
      </c>
      <c r="F62" s="19" t="n">
        <f aca="false">MROUND(Rates!$B$10*E62,0.05)</f>
        <v>12.75</v>
      </c>
      <c r="G62" s="19" t="n">
        <f aca="false">MROUND(Rates!$B$11*E62,0.05)</f>
        <v>44.65</v>
      </c>
      <c r="H62" s="19" t="n">
        <f aca="false">MROUND(Rates!$B$12*E62,0.05)</f>
        <v>31.9</v>
      </c>
      <c r="I62" s="19" t="n">
        <f aca="false">MROUND(Rates!$B$13*E62,0.05)</f>
        <v>5.1</v>
      </c>
    </row>
    <row r="63" customFormat="false" ht="15" hidden="false" customHeight="false" outlineLevel="0" collapsed="false">
      <c r="A63" s="38" t="n">
        <v>2600.01</v>
      </c>
      <c r="B63" s="11" t="s">
        <v>169</v>
      </c>
      <c r="C63" s="21" t="n">
        <v>2600</v>
      </c>
      <c r="D63" s="21" t="n">
        <v>2700</v>
      </c>
      <c r="E63" s="21" t="n">
        <f aca="false">(C63+D63)/2</f>
        <v>2650</v>
      </c>
      <c r="F63" s="19" t="n">
        <f aca="false">MROUND(Rates!$B$10*E63,0.05)</f>
        <v>13.25</v>
      </c>
      <c r="G63" s="19" t="n">
        <f aca="false">MROUND(Rates!$B$11*E63,0.05)</f>
        <v>46.4</v>
      </c>
      <c r="H63" s="19" t="n">
        <f aca="false">MROUND(Rates!$B$12*E63,0.05)</f>
        <v>33.15</v>
      </c>
      <c r="I63" s="19" t="n">
        <f aca="false">MROUND(Rates!$B$13*E63,0.05)</f>
        <v>5.3</v>
      </c>
    </row>
    <row r="64" customFormat="false" ht="15" hidden="false" customHeight="false" outlineLevel="0" collapsed="false">
      <c r="A64" s="38" t="n">
        <v>2700.01</v>
      </c>
      <c r="B64" s="11" t="s">
        <v>170</v>
      </c>
      <c r="C64" s="21" t="n">
        <v>2700</v>
      </c>
      <c r="D64" s="21" t="n">
        <v>2800</v>
      </c>
      <c r="E64" s="21" t="n">
        <f aca="false">(C64+D64)/2</f>
        <v>2750</v>
      </c>
      <c r="F64" s="19" t="n">
        <f aca="false">MROUND(Rates!$B$10*E64,0.05)</f>
        <v>13.75</v>
      </c>
      <c r="G64" s="19" t="n">
        <f aca="false">MROUND(Rates!$B$11*E64,0.05)</f>
        <v>48.15</v>
      </c>
      <c r="H64" s="19" t="n">
        <f aca="false">MROUND(Rates!$B$12*E64,0.05)</f>
        <v>34.4</v>
      </c>
      <c r="I64" s="19" t="n">
        <f aca="false">MROUND(Rates!$B$13*E64,0.05)</f>
        <v>5.5</v>
      </c>
    </row>
    <row r="65" customFormat="false" ht="15" hidden="false" customHeight="false" outlineLevel="0" collapsed="false">
      <c r="A65" s="38" t="n">
        <v>2800.01</v>
      </c>
      <c r="B65" s="11" t="s">
        <v>171</v>
      </c>
      <c r="C65" s="21" t="n">
        <v>2800</v>
      </c>
      <c r="D65" s="21" t="n">
        <v>2900</v>
      </c>
      <c r="E65" s="21" t="n">
        <f aca="false">(C65+D65)/2</f>
        <v>2850</v>
      </c>
      <c r="F65" s="19" t="n">
        <f aca="false">MROUND(Rates!$B$10*E65,0.05)</f>
        <v>14.25</v>
      </c>
      <c r="G65" s="19" t="n">
        <f aca="false">MROUND(Rates!$B$11*E65,0.05)</f>
        <v>49.9</v>
      </c>
      <c r="H65" s="19" t="n">
        <f aca="false">MROUND(Rates!$B$12*E65,0.05)</f>
        <v>35.65</v>
      </c>
      <c r="I65" s="19" t="n">
        <f aca="false">MROUND(Rates!$B$13*E65,0.05)</f>
        <v>5.7</v>
      </c>
    </row>
    <row r="66" customFormat="false" ht="15" hidden="false" customHeight="false" outlineLevel="0" collapsed="false">
      <c r="A66" s="38" t="n">
        <v>2900.01</v>
      </c>
      <c r="B66" s="11" t="s">
        <v>172</v>
      </c>
      <c r="C66" s="21" t="n">
        <v>2900</v>
      </c>
      <c r="D66" s="21" t="n">
        <v>3000</v>
      </c>
      <c r="E66" s="21" t="n">
        <f aca="false">(C66+D66)/2</f>
        <v>2950</v>
      </c>
      <c r="F66" s="19" t="n">
        <f aca="false">MROUND(Rates!$B$10*E66,0.05)</f>
        <v>14.75</v>
      </c>
      <c r="G66" s="19" t="n">
        <f aca="false">MROUND(Rates!$B$11*E66,0.05)</f>
        <v>51.65</v>
      </c>
      <c r="H66" s="19" t="n">
        <f aca="false">MROUND(Rates!$B$12*E66,0.05)</f>
        <v>36.9</v>
      </c>
      <c r="I66" s="19" t="n">
        <f aca="false">MROUND(Rates!$B$13*E66,0.05)</f>
        <v>5.9</v>
      </c>
    </row>
    <row r="67" customFormat="false" ht="15" hidden="false" customHeight="false" outlineLevel="0" collapsed="false">
      <c r="A67" s="38" t="n">
        <v>3000.01</v>
      </c>
      <c r="B67" s="11" t="s">
        <v>173</v>
      </c>
      <c r="C67" s="21" t="n">
        <v>3000</v>
      </c>
      <c r="D67" s="21" t="n">
        <v>3100</v>
      </c>
      <c r="E67" s="21" t="n">
        <f aca="false">(C67+D67)/2</f>
        <v>3050</v>
      </c>
      <c r="F67" s="19" t="n">
        <f aca="false">MROUND(Rates!$B$10*E67,0.05)</f>
        <v>15.25</v>
      </c>
      <c r="G67" s="19" t="n">
        <f aca="false">MROUND(Rates!$B$11*E67,0.05)</f>
        <v>53.4</v>
      </c>
      <c r="H67" s="19" t="n">
        <f aca="false">MROUND(Rates!$B$12*E67,0.05)</f>
        <v>38.15</v>
      </c>
      <c r="I67" s="19" t="n">
        <f aca="false">MROUND(Rates!$B$13*E67,0.05)</f>
        <v>6.1</v>
      </c>
    </row>
    <row r="68" customFormat="false" ht="15" hidden="false" customHeight="false" outlineLevel="0" collapsed="false">
      <c r="A68" s="38" t="n">
        <v>3100.01</v>
      </c>
      <c r="B68" s="11" t="s">
        <v>174</v>
      </c>
      <c r="C68" s="21" t="n">
        <v>3100</v>
      </c>
      <c r="D68" s="21" t="n">
        <v>3200</v>
      </c>
      <c r="E68" s="21" t="n">
        <f aca="false">(C68+D68)/2</f>
        <v>3150</v>
      </c>
      <c r="F68" s="19" t="n">
        <f aca="false">MROUND(Rates!$B$10*E68,0.05)</f>
        <v>15.75</v>
      </c>
      <c r="G68" s="19" t="n">
        <f aca="false">MROUND(Rates!$B$11*E68,0.05)</f>
        <v>55.15</v>
      </c>
      <c r="H68" s="19" t="n">
        <f aca="false">MROUND(Rates!$B$12*E68,0.05)</f>
        <v>39.4</v>
      </c>
      <c r="I68" s="19" t="n">
        <f aca="false">MROUND(Rates!$B$13*E68,0.05)</f>
        <v>6.3</v>
      </c>
    </row>
    <row r="69" customFormat="false" ht="15" hidden="false" customHeight="false" outlineLevel="0" collapsed="false">
      <c r="A69" s="38" t="n">
        <v>3200.01</v>
      </c>
      <c r="B69" s="11" t="s">
        <v>175</v>
      </c>
      <c r="C69" s="21" t="n">
        <v>3200</v>
      </c>
      <c r="D69" s="21" t="n">
        <v>3300</v>
      </c>
      <c r="E69" s="21" t="n">
        <f aca="false">(C69+D69)/2</f>
        <v>3250</v>
      </c>
      <c r="F69" s="19" t="n">
        <f aca="false">MROUND(Rates!$B$10*E69,0.05)</f>
        <v>16.25</v>
      </c>
      <c r="G69" s="19" t="n">
        <f aca="false">MROUND(Rates!$B$11*E69,0.05)</f>
        <v>56.9</v>
      </c>
      <c r="H69" s="19" t="n">
        <f aca="false">MROUND(Rates!$B$12*E69,0.05)</f>
        <v>40.65</v>
      </c>
      <c r="I69" s="19" t="n">
        <f aca="false">MROUND(Rates!$B$13*E69,0.05)</f>
        <v>6.5</v>
      </c>
    </row>
    <row r="70" customFormat="false" ht="15" hidden="false" customHeight="false" outlineLevel="0" collapsed="false">
      <c r="A70" s="38" t="n">
        <v>3300.01</v>
      </c>
      <c r="B70" s="11" t="s">
        <v>176</v>
      </c>
      <c r="C70" s="21" t="n">
        <v>3300</v>
      </c>
      <c r="D70" s="21" t="n">
        <v>3400</v>
      </c>
      <c r="E70" s="21" t="n">
        <f aca="false">(C70+D70)/2</f>
        <v>3350</v>
      </c>
      <c r="F70" s="19" t="n">
        <f aca="false">MROUND(Rates!$B$10*E70,0.05)</f>
        <v>16.75</v>
      </c>
      <c r="G70" s="19" t="n">
        <f aca="false">MROUND(Rates!$B$11*E70,0.05)</f>
        <v>58.65</v>
      </c>
      <c r="H70" s="19" t="n">
        <f aca="false">MROUND(Rates!$B$12*E70,0.05)</f>
        <v>41.9</v>
      </c>
      <c r="I70" s="19" t="n">
        <f aca="false">MROUND(Rates!$B$13*E70,0.05)</f>
        <v>6.7</v>
      </c>
    </row>
    <row r="71" customFormat="false" ht="15" hidden="false" customHeight="false" outlineLevel="0" collapsed="false">
      <c r="A71" s="38" t="n">
        <v>3400.01</v>
      </c>
      <c r="B71" s="11" t="s">
        <v>177</v>
      </c>
      <c r="C71" s="21" t="n">
        <v>3400</v>
      </c>
      <c r="D71" s="21" t="n">
        <v>3500</v>
      </c>
      <c r="E71" s="21" t="n">
        <f aca="false">(C71+D71)/2</f>
        <v>3450</v>
      </c>
      <c r="F71" s="19" t="n">
        <f aca="false">MROUND(Rates!$B$10*E71,0.05)</f>
        <v>17.25</v>
      </c>
      <c r="G71" s="19" t="n">
        <f aca="false">MROUND(Rates!$B$11*E71,0.05)</f>
        <v>60.4</v>
      </c>
      <c r="H71" s="19" t="n">
        <f aca="false">MROUND(Rates!$B$12*E71,0.05)</f>
        <v>43.15</v>
      </c>
      <c r="I71" s="19" t="n">
        <f aca="false">MROUND(Rates!$B$13*E71,0.05)</f>
        <v>6.9</v>
      </c>
    </row>
    <row r="72" customFormat="false" ht="15" hidden="false" customHeight="false" outlineLevel="0" collapsed="false">
      <c r="A72" s="38" t="n">
        <v>3500.01</v>
      </c>
      <c r="B72" s="11" t="s">
        <v>178</v>
      </c>
      <c r="C72" s="21" t="n">
        <v>3500</v>
      </c>
      <c r="D72" s="21" t="n">
        <v>3600</v>
      </c>
      <c r="E72" s="21" t="n">
        <f aca="false">(C72+D72)/2</f>
        <v>3550</v>
      </c>
      <c r="F72" s="19" t="n">
        <f aca="false">MROUND(Rates!$B$10*E72,0.05)</f>
        <v>17.75</v>
      </c>
      <c r="G72" s="19" t="n">
        <f aca="false">MROUND(Rates!$B$11*E72,0.05)</f>
        <v>62.15</v>
      </c>
      <c r="H72" s="19" t="n">
        <f aca="false">MROUND(Rates!$B$12*E72,0.05)</f>
        <v>44.4</v>
      </c>
      <c r="I72" s="19" t="n">
        <f aca="false">MROUND(Rates!$B$13*E72,0.05)</f>
        <v>7.1</v>
      </c>
    </row>
    <row r="73" customFormat="false" ht="15" hidden="false" customHeight="false" outlineLevel="0" collapsed="false">
      <c r="A73" s="38" t="n">
        <v>3600.01</v>
      </c>
      <c r="B73" s="11" t="s">
        <v>179</v>
      </c>
      <c r="C73" s="21" t="n">
        <v>3600</v>
      </c>
      <c r="D73" s="21" t="n">
        <v>3700</v>
      </c>
      <c r="E73" s="21" t="n">
        <f aca="false">(C73+D73)/2</f>
        <v>3650</v>
      </c>
      <c r="F73" s="19" t="n">
        <f aca="false">MROUND(Rates!$B$10*E73,0.05)</f>
        <v>18.25</v>
      </c>
      <c r="G73" s="19" t="n">
        <f aca="false">MROUND(Rates!$B$11*E73,0.05)</f>
        <v>63.9</v>
      </c>
      <c r="H73" s="19" t="n">
        <f aca="false">MROUND(Rates!$B$12*E73,0.05)</f>
        <v>45.65</v>
      </c>
      <c r="I73" s="19" t="n">
        <f aca="false">MROUND(Rates!$B$13*E73,0.05)</f>
        <v>7.3</v>
      </c>
    </row>
    <row r="74" customFormat="false" ht="15" hidden="false" customHeight="false" outlineLevel="0" collapsed="false">
      <c r="A74" s="38" t="n">
        <v>3700.01</v>
      </c>
      <c r="B74" s="11" t="s">
        <v>180</v>
      </c>
      <c r="C74" s="21" t="n">
        <v>3700</v>
      </c>
      <c r="D74" s="21" t="n">
        <v>3800</v>
      </c>
      <c r="E74" s="21" t="n">
        <f aca="false">(C74+D74)/2</f>
        <v>3750</v>
      </c>
      <c r="F74" s="19" t="n">
        <f aca="false">MROUND(Rates!$B$10*E74,0.05)</f>
        <v>18.75</v>
      </c>
      <c r="G74" s="19" t="n">
        <f aca="false">MROUND(Rates!$B$11*E74,0.05)</f>
        <v>65.65</v>
      </c>
      <c r="H74" s="19" t="n">
        <f aca="false">MROUND(Rates!$B$12*E74,0.05)</f>
        <v>46.9</v>
      </c>
      <c r="I74" s="19" t="n">
        <f aca="false">MROUND(Rates!$B$13*E74,0.05)</f>
        <v>7.5</v>
      </c>
    </row>
    <row r="75" customFormat="false" ht="15" hidden="false" customHeight="false" outlineLevel="0" collapsed="false">
      <c r="A75" s="38" t="n">
        <v>3800.01</v>
      </c>
      <c r="B75" s="11" t="s">
        <v>181</v>
      </c>
      <c r="C75" s="21" t="n">
        <v>3800</v>
      </c>
      <c r="D75" s="21" t="n">
        <v>3900</v>
      </c>
      <c r="E75" s="21" t="n">
        <f aca="false">(C75+D75)/2</f>
        <v>3850</v>
      </c>
      <c r="F75" s="19" t="n">
        <f aca="false">MROUND(Rates!$B$10*E75,0.05)</f>
        <v>19.25</v>
      </c>
      <c r="G75" s="19" t="n">
        <f aca="false">MROUND(Rates!$B$11*E75,0.05)</f>
        <v>67.4</v>
      </c>
      <c r="H75" s="19" t="n">
        <f aca="false">MROUND(Rates!$B$12*E75,0.05)</f>
        <v>48.15</v>
      </c>
      <c r="I75" s="19" t="n">
        <f aca="false">MROUND(Rates!$B$13*E75,0.05)</f>
        <v>7.7</v>
      </c>
    </row>
    <row r="76" customFormat="false" ht="15" hidden="false" customHeight="false" outlineLevel="0" collapsed="false">
      <c r="A76" s="38" t="n">
        <v>3900.01</v>
      </c>
      <c r="B76" s="11" t="s">
        <v>182</v>
      </c>
      <c r="C76" s="21" t="n">
        <v>3900</v>
      </c>
      <c r="D76" s="21" t="n">
        <v>4000</v>
      </c>
      <c r="E76" s="21" t="n">
        <f aca="false">(C76+D76)/2</f>
        <v>3950</v>
      </c>
      <c r="F76" s="19" t="n">
        <f aca="false">MROUND(Rates!$B$10*E76,0.05)</f>
        <v>19.75</v>
      </c>
      <c r="G76" s="19" t="n">
        <f aca="false">MROUND(Rates!$B$11*E76,0.05)</f>
        <v>69.15</v>
      </c>
      <c r="H76" s="19" t="n">
        <f aca="false">MROUND(Rates!$B$12*E76,0.05)</f>
        <v>49.4</v>
      </c>
      <c r="I76" s="19" t="n">
        <f aca="false">MROUND(Rates!$B$13*E76,0.05)</f>
        <v>7.9</v>
      </c>
    </row>
    <row r="77" customFormat="false" ht="15" hidden="false" customHeight="false" outlineLevel="0" collapsed="false">
      <c r="A77" s="38" t="n">
        <v>4000.01</v>
      </c>
      <c r="B77" s="11" t="s">
        <v>183</v>
      </c>
      <c r="C77" s="21" t="n">
        <v>4000</v>
      </c>
      <c r="D77" s="21" t="n">
        <v>4100</v>
      </c>
      <c r="E77" s="21" t="n">
        <f aca="false">(C77+D77)/2</f>
        <v>4050</v>
      </c>
      <c r="F77" s="19" t="n">
        <f aca="false">MROUND(Rates!$B$10*E77,0.05)</f>
        <v>20.25</v>
      </c>
      <c r="G77" s="19" t="n">
        <f aca="false">MROUND(Rates!$B$11*E77,0.05)</f>
        <v>70.9</v>
      </c>
      <c r="H77" s="19" t="n">
        <f aca="false">MROUND(Rates!$B$12*E77,0.05)</f>
        <v>50.65</v>
      </c>
      <c r="I77" s="19" t="n">
        <f aca="false">MROUND(Rates!$B$13*E77,0.05)</f>
        <v>8.1</v>
      </c>
    </row>
    <row r="78" customFormat="false" ht="15" hidden="false" customHeight="false" outlineLevel="0" collapsed="false">
      <c r="A78" s="38" t="n">
        <v>4100.01</v>
      </c>
      <c r="B78" s="11" t="s">
        <v>184</v>
      </c>
      <c r="C78" s="21" t="n">
        <v>4100</v>
      </c>
      <c r="D78" s="21" t="n">
        <v>4200</v>
      </c>
      <c r="E78" s="21" t="n">
        <f aca="false">(C78+D78)/2</f>
        <v>4150</v>
      </c>
      <c r="F78" s="19" t="n">
        <f aca="false">MROUND(Rates!$B$10*E78,0.05)</f>
        <v>20.75</v>
      </c>
      <c r="G78" s="19" t="n">
        <f aca="false">MROUND(Rates!$B$11*E78,0.05)</f>
        <v>72.65</v>
      </c>
      <c r="H78" s="19" t="n">
        <f aca="false">MROUND(Rates!$B$12*E78,0.05)</f>
        <v>51.9</v>
      </c>
      <c r="I78" s="19" t="n">
        <f aca="false">MROUND(Rates!$B$13*E78,0.05)</f>
        <v>8.3</v>
      </c>
    </row>
    <row r="79" customFormat="false" ht="15" hidden="false" customHeight="false" outlineLevel="0" collapsed="false">
      <c r="A79" s="38" t="n">
        <v>4200.01</v>
      </c>
      <c r="B79" s="11" t="s">
        <v>185</v>
      </c>
      <c r="C79" s="21" t="n">
        <v>4200</v>
      </c>
      <c r="D79" s="21" t="n">
        <v>4300</v>
      </c>
      <c r="E79" s="21" t="n">
        <f aca="false">(C79+D79)/2</f>
        <v>4250</v>
      </c>
      <c r="F79" s="19" t="n">
        <f aca="false">MROUND(Rates!$B$10*E79,0.05)</f>
        <v>21.25</v>
      </c>
      <c r="G79" s="19" t="n">
        <f aca="false">MROUND(Rates!$B$11*E79,0.05)</f>
        <v>74.4</v>
      </c>
      <c r="H79" s="19" t="n">
        <f aca="false">MROUND(Rates!$B$12*E79,0.05)</f>
        <v>53.15</v>
      </c>
      <c r="I79" s="19" t="n">
        <f aca="false">MROUND(Rates!$B$13*E79,0.05)</f>
        <v>8.5</v>
      </c>
    </row>
    <row r="80" customFormat="false" ht="15" hidden="false" customHeight="false" outlineLevel="0" collapsed="false">
      <c r="A80" s="38" t="n">
        <v>4300.01</v>
      </c>
      <c r="B80" s="11" t="s">
        <v>186</v>
      </c>
      <c r="C80" s="21" t="n">
        <v>4300</v>
      </c>
      <c r="D80" s="21" t="n">
        <v>4400</v>
      </c>
      <c r="E80" s="21" t="n">
        <f aca="false">(C80+D80)/2</f>
        <v>4350</v>
      </c>
      <c r="F80" s="19" t="n">
        <f aca="false">MROUND(Rates!$B$10*E80,0.05)</f>
        <v>21.75</v>
      </c>
      <c r="G80" s="19" t="n">
        <f aca="false">MROUND(Rates!$B$11*E80,0.05)</f>
        <v>76.15</v>
      </c>
      <c r="H80" s="19" t="n">
        <f aca="false">MROUND(Rates!$B$12*E80,0.05)</f>
        <v>54.4</v>
      </c>
      <c r="I80" s="19" t="n">
        <f aca="false">MROUND(Rates!$B$13*E80,0.05)</f>
        <v>8.7</v>
      </c>
    </row>
    <row r="81" customFormat="false" ht="15" hidden="false" customHeight="false" outlineLevel="0" collapsed="false">
      <c r="A81" s="38" t="n">
        <v>4400.01</v>
      </c>
      <c r="B81" s="11" t="s">
        <v>187</v>
      </c>
      <c r="C81" s="21" t="n">
        <v>4400</v>
      </c>
      <c r="D81" s="21" t="n">
        <v>4500</v>
      </c>
      <c r="E81" s="21" t="n">
        <f aca="false">(C81+D81)/2</f>
        <v>4450</v>
      </c>
      <c r="F81" s="19" t="n">
        <f aca="false">MROUND(Rates!$B$10*E81,0.05)</f>
        <v>22.25</v>
      </c>
      <c r="G81" s="19" t="n">
        <f aca="false">MROUND(Rates!$B$11*E81,0.05)</f>
        <v>77.9</v>
      </c>
      <c r="H81" s="19" t="n">
        <f aca="false">MROUND(Rates!$B$12*E81,0.05)</f>
        <v>55.65</v>
      </c>
      <c r="I81" s="19" t="n">
        <f aca="false">MROUND(Rates!$B$13*E81,0.05)</f>
        <v>8.9</v>
      </c>
    </row>
    <row r="82" customFormat="false" ht="15" hidden="false" customHeight="false" outlineLevel="0" collapsed="false">
      <c r="A82" s="38" t="n">
        <v>4500.01</v>
      </c>
      <c r="B82" s="11" t="s">
        <v>188</v>
      </c>
      <c r="C82" s="21" t="n">
        <v>4500</v>
      </c>
      <c r="D82" s="21" t="n">
        <v>4600</v>
      </c>
      <c r="E82" s="21" t="n">
        <f aca="false">(C82+D82)/2</f>
        <v>4550</v>
      </c>
      <c r="F82" s="19" t="n">
        <f aca="false">MROUND(Rates!$B$10*E82,0.05)</f>
        <v>22.75</v>
      </c>
      <c r="G82" s="19" t="n">
        <f aca="false">MROUND(Rates!$B$11*E82,0.05)</f>
        <v>79.65</v>
      </c>
      <c r="H82" s="19" t="n">
        <f aca="false">MROUND(Rates!$B$12*E82,0.05)</f>
        <v>56.9</v>
      </c>
      <c r="I82" s="19" t="n">
        <f aca="false">MROUND(Rates!$B$13*E82,0.05)</f>
        <v>9.1</v>
      </c>
    </row>
    <row r="83" customFormat="false" ht="15" hidden="false" customHeight="false" outlineLevel="0" collapsed="false">
      <c r="A83" s="38" t="n">
        <v>4600.01</v>
      </c>
      <c r="B83" s="11" t="s">
        <v>189</v>
      </c>
      <c r="C83" s="21" t="n">
        <v>4600</v>
      </c>
      <c r="D83" s="21" t="n">
        <v>4700</v>
      </c>
      <c r="E83" s="21" t="n">
        <f aca="false">(C83+D83)/2</f>
        <v>4650</v>
      </c>
      <c r="F83" s="19" t="n">
        <f aca="false">MROUND(Rates!$B$10*E83,0.05)</f>
        <v>23.25</v>
      </c>
      <c r="G83" s="19" t="n">
        <f aca="false">MROUND(Rates!$B$11*E83,0.05)</f>
        <v>81.4</v>
      </c>
      <c r="H83" s="19" t="n">
        <f aca="false">MROUND(Rates!$B$12*E83,0.05)</f>
        <v>58.15</v>
      </c>
      <c r="I83" s="19" t="n">
        <f aca="false">MROUND(Rates!$B$13*E83,0.05)</f>
        <v>9.3</v>
      </c>
    </row>
    <row r="84" customFormat="false" ht="15" hidden="false" customHeight="false" outlineLevel="0" collapsed="false">
      <c r="A84" s="38" t="n">
        <v>4700.01</v>
      </c>
      <c r="B84" s="11" t="s">
        <v>190</v>
      </c>
      <c r="C84" s="21" t="n">
        <v>4700</v>
      </c>
      <c r="D84" s="21" t="n">
        <v>4800</v>
      </c>
      <c r="E84" s="21" t="n">
        <f aca="false">(C84+D84)/2</f>
        <v>4750</v>
      </c>
      <c r="F84" s="19" t="n">
        <f aca="false">MROUND(Rates!$B$10*E84,0.05)</f>
        <v>23.75</v>
      </c>
      <c r="G84" s="19" t="n">
        <f aca="false">MROUND(Rates!$B$11*E84,0.05)</f>
        <v>83.15</v>
      </c>
      <c r="H84" s="19" t="n">
        <f aca="false">MROUND(Rates!$B$12*E84,0.05)</f>
        <v>59.4</v>
      </c>
      <c r="I84" s="19" t="n">
        <f aca="false">MROUND(Rates!$B$13*E84,0.05)</f>
        <v>9.5</v>
      </c>
    </row>
    <row r="85" customFormat="false" ht="15" hidden="false" customHeight="false" outlineLevel="0" collapsed="false">
      <c r="A85" s="38" t="n">
        <v>4800.01</v>
      </c>
      <c r="B85" s="11" t="s">
        <v>191</v>
      </c>
      <c r="C85" s="21" t="n">
        <v>4800</v>
      </c>
      <c r="D85" s="21" t="n">
        <v>4900</v>
      </c>
      <c r="E85" s="21" t="n">
        <f aca="false">(C85+D85)/2</f>
        <v>4850</v>
      </c>
      <c r="F85" s="19" t="n">
        <f aca="false">MROUND(Rates!$B$10*E85,0.05)</f>
        <v>24.25</v>
      </c>
      <c r="G85" s="19" t="n">
        <f aca="false">MROUND(Rates!$B$11*E85,0.05)</f>
        <v>84.9</v>
      </c>
      <c r="H85" s="19" t="n">
        <f aca="false">MROUND(Rates!$B$12*E85,0.05)</f>
        <v>60.65</v>
      </c>
      <c r="I85" s="19" t="n">
        <f aca="false">MROUND(Rates!$B$13*E85,0.05)</f>
        <v>9.7</v>
      </c>
    </row>
    <row r="86" customFormat="false" ht="15" hidden="false" customHeight="false" outlineLevel="0" collapsed="false">
      <c r="A86" s="38" t="n">
        <v>4900.01</v>
      </c>
      <c r="B86" s="11" t="s">
        <v>192</v>
      </c>
      <c r="C86" s="21" t="n">
        <v>4900</v>
      </c>
      <c r="D86" s="21" t="n">
        <v>5000</v>
      </c>
      <c r="E86" s="21" t="n">
        <f aca="false">(C86+D86)/2</f>
        <v>4950</v>
      </c>
      <c r="F86" s="19" t="n">
        <f aca="false">MROUND(Rates!$B$10*E86,0.05)</f>
        <v>24.75</v>
      </c>
      <c r="G86" s="19" t="n">
        <f aca="false">MROUND(Rates!$B$11*E86,0.05)</f>
        <v>86.65</v>
      </c>
      <c r="H86" s="19" t="n">
        <f aca="false">MROUND(Rates!$B$12*E86,0.05)</f>
        <v>61.9</v>
      </c>
      <c r="I86" s="19" t="n">
        <f aca="false">MROUND(Rates!$B$13*E86,0.05)</f>
        <v>9.9</v>
      </c>
    </row>
    <row r="87" customFormat="false" ht="15" hidden="false" customHeight="false" outlineLevel="0" collapsed="false">
      <c r="A87" s="38" t="n">
        <v>5000.01</v>
      </c>
      <c r="B87" s="11" t="s">
        <v>193</v>
      </c>
      <c r="C87" s="21" t="n">
        <v>5000</v>
      </c>
      <c r="D87" s="21" t="n">
        <v>5100</v>
      </c>
      <c r="E87" s="21" t="n">
        <f aca="false">(C87+D87)/2</f>
        <v>5050</v>
      </c>
      <c r="F87" s="19" t="n">
        <f aca="false">MROUND(Rates!$B$10*E87,0.05)</f>
        <v>25.25</v>
      </c>
      <c r="G87" s="19" t="n">
        <f aca="false">MROUND(Rates!$B$11*E87,0.05)</f>
        <v>88.4</v>
      </c>
      <c r="H87" s="19" t="n">
        <f aca="false">MROUND(Rates!$B$12*E87,0.05)</f>
        <v>63.15</v>
      </c>
      <c r="I87" s="19" t="n">
        <f aca="false">MROUND(Rates!$B$13*E87,0.05)</f>
        <v>10.1</v>
      </c>
    </row>
    <row r="88" customFormat="false" ht="15" hidden="false" customHeight="false" outlineLevel="0" collapsed="false">
      <c r="A88" s="38" t="n">
        <v>5100.01</v>
      </c>
      <c r="B88" s="11" t="s">
        <v>194</v>
      </c>
      <c r="C88" s="21" t="n">
        <v>5100</v>
      </c>
      <c r="D88" s="21" t="n">
        <v>5200</v>
      </c>
      <c r="E88" s="21" t="n">
        <f aca="false">(C88+D88)/2</f>
        <v>5150</v>
      </c>
      <c r="F88" s="19" t="n">
        <f aca="false">MROUND(Rates!$B$10*E88,0.05)</f>
        <v>25.75</v>
      </c>
      <c r="G88" s="19" t="n">
        <f aca="false">MROUND(Rates!$B$11*E88,0.05)</f>
        <v>90.15</v>
      </c>
      <c r="H88" s="19" t="n">
        <f aca="false">MROUND(Rates!$B$12*E88,0.05)</f>
        <v>64.4</v>
      </c>
      <c r="I88" s="19" t="n">
        <f aca="false">MROUND(Rates!$B$13*E88,0.05)</f>
        <v>10.3</v>
      </c>
    </row>
    <row r="89" customFormat="false" ht="15" hidden="false" customHeight="false" outlineLevel="0" collapsed="false">
      <c r="A89" s="38" t="n">
        <v>5200.01</v>
      </c>
      <c r="B89" s="11" t="s">
        <v>195</v>
      </c>
      <c r="C89" s="21" t="n">
        <v>5200</v>
      </c>
      <c r="D89" s="21" t="n">
        <v>5300</v>
      </c>
      <c r="E89" s="21" t="n">
        <f aca="false">(C89+D89)/2</f>
        <v>5250</v>
      </c>
      <c r="F89" s="19" t="n">
        <f aca="false">MROUND(Rates!$B$10*E89,0.05)</f>
        <v>26.25</v>
      </c>
      <c r="G89" s="19" t="n">
        <f aca="false">MROUND(Rates!$B$11*E89,0.05)</f>
        <v>91.9</v>
      </c>
      <c r="H89" s="19" t="n">
        <f aca="false">MROUND(Rates!$B$12*E89,0.05)</f>
        <v>65.65</v>
      </c>
      <c r="I89" s="19" t="n">
        <f aca="false">MROUND(Rates!$B$13*E89,0.05)</f>
        <v>10.5</v>
      </c>
    </row>
    <row r="90" customFormat="false" ht="15" hidden="false" customHeight="false" outlineLevel="0" collapsed="false">
      <c r="A90" s="38" t="n">
        <v>5300.01</v>
      </c>
      <c r="B90" s="11" t="s">
        <v>196</v>
      </c>
      <c r="C90" s="21" t="n">
        <v>5300</v>
      </c>
      <c r="D90" s="21" t="n">
        <v>5400</v>
      </c>
      <c r="E90" s="21" t="n">
        <f aca="false">(C90+D90)/2</f>
        <v>5350</v>
      </c>
      <c r="F90" s="19" t="n">
        <f aca="false">MROUND(Rates!$B$10*E90,0.05)</f>
        <v>26.75</v>
      </c>
      <c r="G90" s="19" t="n">
        <f aca="false">MROUND(Rates!$B$11*E90,0.05)</f>
        <v>93.65</v>
      </c>
      <c r="H90" s="19" t="n">
        <f aca="false">MROUND(Rates!$B$12*E90,0.05)</f>
        <v>66.9</v>
      </c>
      <c r="I90" s="19" t="n">
        <f aca="false">MROUND(Rates!$B$13*E90,0.05)</f>
        <v>10.7</v>
      </c>
    </row>
    <row r="91" customFormat="false" ht="15" hidden="false" customHeight="false" outlineLevel="0" collapsed="false">
      <c r="A91" s="38" t="n">
        <v>5400.01</v>
      </c>
      <c r="B91" s="11" t="s">
        <v>197</v>
      </c>
      <c r="C91" s="21" t="n">
        <v>5400</v>
      </c>
      <c r="D91" s="21" t="n">
        <v>5500</v>
      </c>
      <c r="E91" s="21" t="n">
        <f aca="false">(C91+D91)/2</f>
        <v>5450</v>
      </c>
      <c r="F91" s="19" t="n">
        <f aca="false">MROUND(Rates!$B$10*E91,0.05)</f>
        <v>27.25</v>
      </c>
      <c r="G91" s="19" t="n">
        <f aca="false">MROUND(Rates!$B$11*E91,0.05)</f>
        <v>95.4</v>
      </c>
      <c r="H91" s="19" t="n">
        <f aca="false">MROUND(Rates!$B$12*E91,0.05)</f>
        <v>68.15</v>
      </c>
      <c r="I91" s="19" t="n">
        <f aca="false">MROUND(Rates!$B$13*E91,0.05)</f>
        <v>10.9</v>
      </c>
    </row>
    <row r="92" customFormat="false" ht="15" hidden="false" customHeight="false" outlineLevel="0" collapsed="false">
      <c r="A92" s="38" t="n">
        <v>5500.01</v>
      </c>
      <c r="B92" s="11" t="s">
        <v>198</v>
      </c>
      <c r="C92" s="21" t="n">
        <v>5500</v>
      </c>
      <c r="D92" s="21" t="n">
        <v>5600</v>
      </c>
      <c r="E92" s="21" t="n">
        <f aca="false">(C92+D92)/2</f>
        <v>5550</v>
      </c>
      <c r="F92" s="19" t="n">
        <f aca="false">MROUND(Rates!$B$10*E92,0.05)</f>
        <v>27.75</v>
      </c>
      <c r="G92" s="19" t="n">
        <f aca="false">MROUND(Rates!$B$11*E92,0.05)</f>
        <v>97.15</v>
      </c>
      <c r="H92" s="19" t="n">
        <f aca="false">MROUND(Rates!$B$12*E92,0.05)</f>
        <v>69.4</v>
      </c>
      <c r="I92" s="19" t="n">
        <f aca="false">MROUND(Rates!$B$13*E92,0.05)</f>
        <v>11.1</v>
      </c>
    </row>
    <row r="93" customFormat="false" ht="15" hidden="false" customHeight="false" outlineLevel="0" collapsed="false">
      <c r="A93" s="38" t="n">
        <v>5600.01</v>
      </c>
      <c r="B93" s="11" t="s">
        <v>199</v>
      </c>
      <c r="C93" s="21" t="n">
        <v>5600</v>
      </c>
      <c r="D93" s="21" t="n">
        <v>5700</v>
      </c>
      <c r="E93" s="21" t="n">
        <f aca="false">(C93+D93)/2</f>
        <v>5650</v>
      </c>
      <c r="F93" s="19" t="n">
        <f aca="false">MROUND(Rates!$B$10*E93,0.05)</f>
        <v>28.25</v>
      </c>
      <c r="G93" s="19" t="n">
        <f aca="false">MROUND(Rates!$B$11*E93,0.05)</f>
        <v>98.9</v>
      </c>
      <c r="H93" s="19" t="n">
        <f aca="false">MROUND(Rates!$B$12*E93,0.05)</f>
        <v>70.65</v>
      </c>
      <c r="I93" s="19" t="n">
        <f aca="false">MROUND(Rates!$B$13*E93,0.05)</f>
        <v>11.3</v>
      </c>
    </row>
    <row r="94" customFormat="false" ht="15" hidden="false" customHeight="false" outlineLevel="0" collapsed="false">
      <c r="A94" s="38" t="n">
        <v>5700.01</v>
      </c>
      <c r="B94" s="11" t="s">
        <v>200</v>
      </c>
      <c r="C94" s="21" t="n">
        <v>5700</v>
      </c>
      <c r="D94" s="21" t="n">
        <v>5800</v>
      </c>
      <c r="E94" s="21" t="n">
        <f aca="false">(C94+D94)/2</f>
        <v>5750</v>
      </c>
      <c r="F94" s="19" t="n">
        <f aca="false">MROUND(Rates!$B$10*E94,0.05)</f>
        <v>28.75</v>
      </c>
      <c r="G94" s="19" t="n">
        <f aca="false">MROUND(Rates!$B$11*E94,0.05)</f>
        <v>100.65</v>
      </c>
      <c r="H94" s="19" t="n">
        <f aca="false">MROUND(Rates!$B$12*E94,0.05)</f>
        <v>71.9</v>
      </c>
      <c r="I94" s="19" t="n">
        <f aca="false">MROUND(Rates!$B$13*E94,0.05)</f>
        <v>11.5</v>
      </c>
    </row>
    <row r="95" customFormat="false" ht="15" hidden="false" customHeight="false" outlineLevel="0" collapsed="false">
      <c r="A95" s="38" t="n">
        <v>5800.01</v>
      </c>
      <c r="B95" s="11" t="s">
        <v>201</v>
      </c>
      <c r="C95" s="21" t="n">
        <v>5800</v>
      </c>
      <c r="D95" s="21" t="n">
        <v>5900</v>
      </c>
      <c r="E95" s="21" t="n">
        <f aca="false">(C95+D95)/2</f>
        <v>5850</v>
      </c>
      <c r="F95" s="19" t="n">
        <f aca="false">MROUND(Rates!$B$10*E95,0.05)</f>
        <v>29.25</v>
      </c>
      <c r="G95" s="19" t="n">
        <f aca="false">MROUND(Rates!$B$11*E95,0.05)</f>
        <v>102.4</v>
      </c>
      <c r="H95" s="19" t="n">
        <f aca="false">MROUND(Rates!$B$12*E95,0.05)</f>
        <v>73.15</v>
      </c>
      <c r="I95" s="19" t="n">
        <f aca="false">MROUND(Rates!$B$13*E95,0.05)</f>
        <v>11.7</v>
      </c>
    </row>
    <row r="96" customFormat="false" ht="15" hidden="false" customHeight="false" outlineLevel="0" collapsed="false">
      <c r="A96" s="38" t="n">
        <v>5900.01</v>
      </c>
      <c r="B96" s="11" t="s">
        <v>202</v>
      </c>
      <c r="C96" s="21" t="n">
        <v>5900</v>
      </c>
      <c r="D96" s="21" t="n">
        <v>6000</v>
      </c>
      <c r="E96" s="21" t="n">
        <f aca="false">(C96+D96)/2</f>
        <v>5950</v>
      </c>
      <c r="F96" s="19" t="n">
        <f aca="false">MROUND(Rates!$B$10*E96,0.05)</f>
        <v>29.75</v>
      </c>
      <c r="G96" s="19" t="n">
        <f aca="false">MROUND(Rates!$B$11*E96,0.05)</f>
        <v>104.15</v>
      </c>
      <c r="H96" s="19" t="n">
        <f aca="false">MROUND(Rates!$B$12*E96,0.05)</f>
        <v>74.4</v>
      </c>
      <c r="I96" s="19" t="n">
        <f aca="false">MROUND(Rates!$B$13*E96,0.05)</f>
        <v>11.9</v>
      </c>
    </row>
    <row r="97" customFormat="false" ht="15" hidden="false" customHeight="false" outlineLevel="0" collapsed="false">
      <c r="A97" s="38" t="n">
        <v>6000.01</v>
      </c>
      <c r="B97" s="11" t="s">
        <v>203</v>
      </c>
      <c r="C97" s="21" t="n">
        <v>6000.01</v>
      </c>
      <c r="D97" s="21"/>
      <c r="E97" s="21" t="n">
        <f aca="false">Rates!$B$9-50</f>
        <v>5950</v>
      </c>
      <c r="F97" s="19" t="n">
        <f aca="false">MROUND(Rates!$B$10*E97,0.05)</f>
        <v>29.75</v>
      </c>
      <c r="G97" s="19" t="n">
        <f aca="false">MROUND(Rates!$B$11*E97,0.05)</f>
        <v>104.15</v>
      </c>
      <c r="H97" s="19" t="n">
        <f aca="false">MROUND(Rates!$B$12*E97,0.05)</f>
        <v>74.4</v>
      </c>
      <c r="I97" s="19" t="n">
        <f aca="false">MROUND(Rates!$B$13*E97,0.05)</f>
        <v>11.9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39" t="s">
        <v>204</v>
      </c>
    </row>
    <row r="2" customFormat="false" ht="15" hidden="false" customHeight="false" outlineLevel="0" collapsed="false">
      <c r="B2" s="40"/>
    </row>
    <row r="3" customFormat="false" ht="23.85" hidden="false" customHeight="false" outlineLevel="0" collapsed="false">
      <c r="B3" s="40" t="s">
        <v>205</v>
      </c>
    </row>
    <row r="4" customFormat="false" ht="15" hidden="false" customHeight="false" outlineLevel="0" collapsed="false">
      <c r="B4" s="40"/>
    </row>
    <row r="5" customFormat="false" ht="15" hidden="false" customHeight="false" outlineLevel="0" collapsed="false">
      <c r="B5" s="41" t="s">
        <v>206</v>
      </c>
    </row>
    <row r="6" customFormat="false" ht="23.85" hidden="false" customHeight="false" outlineLevel="0" collapsed="false">
      <c r="B6" s="40" t="s">
        <v>207</v>
      </c>
    </row>
    <row r="7" customFormat="false" ht="23.85" hidden="false" customHeight="false" outlineLevel="0" collapsed="false">
      <c r="B7" s="40" t="s">
        <v>208</v>
      </c>
    </row>
    <row r="8" customFormat="false" ht="15" hidden="false" customHeight="false" outlineLevel="0" collapsed="false">
      <c r="B8" s="40" t="s">
        <v>209</v>
      </c>
    </row>
    <row r="9" customFormat="false" ht="23.85" hidden="false" customHeight="false" outlineLevel="0" collapsed="false">
      <c r="B9" s="40" t="s">
        <v>210</v>
      </c>
    </row>
    <row r="10" customFormat="false" ht="15" hidden="false" customHeight="false" outlineLevel="0" collapsed="false">
      <c r="B10" s="40"/>
    </row>
    <row r="11" customFormat="false" ht="15" hidden="false" customHeight="false" outlineLevel="0" collapsed="false">
      <c r="B11" s="41" t="s">
        <v>211</v>
      </c>
    </row>
    <row r="12" customFormat="false" ht="23.85" hidden="false" customHeight="false" outlineLevel="0" collapsed="false">
      <c r="B12" s="40" t="s">
        <v>212</v>
      </c>
    </row>
    <row r="13" customFormat="false" ht="23.85" hidden="false" customHeight="false" outlineLevel="0" collapsed="false">
      <c r="B13" s="40" t="s">
        <v>213</v>
      </c>
    </row>
    <row r="14" customFormat="false" ht="15" hidden="false" customHeight="false" outlineLevel="0" collapsed="false">
      <c r="B14" s="40" t="s">
        <v>214</v>
      </c>
    </row>
    <row r="15" customFormat="false" ht="46.25" hidden="false" customHeight="false" outlineLevel="0" collapsed="false">
      <c r="B15" s="40" t="s">
        <v>215</v>
      </c>
    </row>
    <row r="16" customFormat="false" ht="15" hidden="false" customHeight="false" outlineLevel="0" collapsed="false">
      <c r="B16" s="40"/>
    </row>
    <row r="17" customFormat="false" ht="15" hidden="false" customHeight="false" outlineLevel="0" collapsed="false">
      <c r="B17" s="41" t="s">
        <v>216</v>
      </c>
    </row>
    <row r="18" customFormat="false" ht="15" hidden="false" customHeight="false" outlineLevel="0" collapsed="false">
      <c r="B18" s="40" t="s">
        <v>217</v>
      </c>
    </row>
    <row r="19" customFormat="false" ht="15" hidden="false" customHeight="false" outlineLevel="0" collapsed="false">
      <c r="B19" s="40" t="s">
        <v>218</v>
      </c>
    </row>
    <row r="20" customFormat="false" ht="15" hidden="false" customHeight="false" outlineLevel="0" collapsed="false">
      <c r="B20" s="40" t="s">
        <v>219</v>
      </c>
    </row>
    <row r="21" customFormat="false" ht="23.85" hidden="false" customHeight="false" outlineLevel="0" collapsed="false">
      <c r="B21" s="40" t="s">
        <v>220</v>
      </c>
    </row>
    <row r="22" customFormat="false" ht="15" hidden="false" customHeight="false" outlineLevel="0" collapsed="false">
      <c r="B22" s="40"/>
    </row>
    <row r="23" customFormat="false" ht="15" hidden="false" customHeight="false" outlineLevel="0" collapsed="false">
      <c r="B23" s="41" t="s">
        <v>221</v>
      </c>
    </row>
    <row r="24" customFormat="false" ht="23.85" hidden="false" customHeight="false" outlineLevel="0" collapsed="false">
      <c r="B24" s="40" t="s">
        <v>222</v>
      </c>
    </row>
    <row r="25" customFormat="false" ht="23.85" hidden="false" customHeight="false" outlineLevel="0" collapsed="false">
      <c r="B25" s="40" t="s">
        <v>223</v>
      </c>
    </row>
    <row r="26" customFormat="false" ht="15" hidden="false" customHeight="false" outlineLevel="0" collapsed="false">
      <c r="B26" s="40"/>
    </row>
    <row r="27" customFormat="false" ht="15" hidden="false" customHeight="false" outlineLevel="0" collapsed="false">
      <c r="B27" s="41" t="s">
        <v>224</v>
      </c>
    </row>
    <row r="28" customFormat="false" ht="15" hidden="false" customHeight="false" outlineLevel="0" collapsed="false">
      <c r="B28" s="40" t="s">
        <v>225</v>
      </c>
    </row>
    <row r="29" customFormat="false" ht="15" hidden="false" customHeight="false" outlineLevel="0" collapsed="false">
      <c r="B29" s="40"/>
    </row>
    <row r="30" customFormat="false" ht="15" hidden="false" customHeight="false" outlineLevel="0" collapsed="false">
      <c r="B30" s="41" t="s">
        <v>226</v>
      </c>
    </row>
    <row r="31" customFormat="false" ht="15" hidden="false" customHeight="false" outlineLevel="0" collapsed="false">
      <c r="B31" s="40" t="s">
        <v>227</v>
      </c>
    </row>
    <row r="32" customFormat="false" ht="15" hidden="false" customHeight="false" outlineLevel="0" collapsed="false">
      <c r="B32" s="40" t="s">
        <v>228</v>
      </c>
    </row>
    <row r="33" customFormat="false" ht="15" hidden="false" customHeight="false" outlineLevel="0" collapsed="false">
      <c r="B33" s="40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2026-07-01T11:39:00Z</dcterms:created>
  <dc:creator>openpyxl</dc:creator>
  <dc:description/>
  <dc:language>en-SG</dc:language>
  <cp:lastModifiedBy/>
  <dcterms:modified xsi:type="dcterms:W3CDTF">2026-07-01T11:39:00Z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