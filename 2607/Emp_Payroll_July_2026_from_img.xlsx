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eonghoongjun/onni/payroll-app/2607/"/>
    </mc:Choice>
  </mc:AlternateContent>
  <xr:revisionPtr revIDLastSave="0" documentId="8_{CDA74EC5-DE15-9C4A-92E0-AD7EA1CD0799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July 20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6" i="1"/>
  <c r="M7" i="1"/>
  <c r="J5" i="1"/>
  <c r="K14" i="1"/>
  <c r="I14" i="1"/>
  <c r="H14" i="1"/>
  <c r="G14" i="1"/>
  <c r="F14" i="1"/>
  <c r="M13" i="1"/>
  <c r="M12" i="1"/>
  <c r="M11" i="1"/>
  <c r="M10" i="1"/>
  <c r="M9" i="1"/>
  <c r="M8" i="1"/>
  <c r="M6" i="1"/>
  <c r="M14" i="1" l="1"/>
  <c r="J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4" authorId="0" shapeId="0" xr:uid="{00000000-0006-0000-0000-000002000000}">
      <text>
        <r>
          <rPr>
            <sz val="10"/>
            <color rgb="FF000000"/>
            <rFont val="Arial"/>
            <family val="2"/>
          </rPr>
          <t>Gross Salary column was blank on the scan. Added as formula: Basic + Petrol + Incentive + Dishwash + OT Pay. Delete/adjust if your definition of gross excludes OT.</t>
        </r>
      </text>
    </comment>
    <comment ref="D7" authorId="0" shapeId="0" xr:uid="{00000000-0006-0000-0000-000001000000}">
      <text>
        <r>
          <rPr>
            <sz val="10"/>
            <rFont val="Arial"/>
            <family val="2"/>
          </rPr>
          <t>Scan shows 16406??40677 with two digits under a green mark; best read ‘164061940677’ (12 digits, consistent with Maybank format). Confirm against bank records before paying.</t>
        </r>
      </text>
    </comment>
  </commentList>
</comments>
</file>

<file path=xl/sharedStrings.xml><?xml version="1.0" encoding="utf-8"?>
<sst xmlns="http://schemas.openxmlformats.org/spreadsheetml/2006/main" count="65" uniqueCount="56">
  <si>
    <t>Payroll — July 2026</t>
  </si>
  <si>
    <t>Transcribed from scanned worksheet (CamScanner, 01 Aug 2026). Account numbers stored as text, hyphens removed.</t>
  </si>
  <si>
    <t>EMP_ID</t>
  </si>
  <si>
    <t>Name</t>
  </si>
  <si>
    <t>Bank Name</t>
  </si>
  <si>
    <t>Bank Acct No</t>
  </si>
  <si>
    <t>Passed Probation</t>
  </si>
  <si>
    <t>Basic (RM)</t>
  </si>
  <si>
    <t>Petrol Allowance (RM)</t>
  </si>
  <si>
    <t>Incentive (RM)</t>
  </si>
  <si>
    <t>Dishwash Incentive (RM)</t>
  </si>
  <si>
    <t>Gross Salary (RM)</t>
  </si>
  <si>
    <t>OT Hour</t>
  </si>
  <si>
    <t>OT Rate (RM/hr)</t>
  </si>
  <si>
    <t>OT Pay (RM)</t>
  </si>
  <si>
    <t>Notes</t>
  </si>
  <si>
    <t>ON00010</t>
  </si>
  <si>
    <t>cheong fong cheng</t>
  </si>
  <si>
    <t>CIMB</t>
  </si>
  <si>
    <t>7000986177</t>
  </si>
  <si>
    <t>Y</t>
  </si>
  <si>
    <t>ON00012</t>
  </si>
  <si>
    <t>mohd hafizal bin azahar</t>
  </si>
  <si>
    <t>Public Bank</t>
  </si>
  <si>
    <t>4798247316</t>
  </si>
  <si>
    <t>ON00022</t>
  </si>
  <si>
    <t>Mohd Aminudin Bin Yahya</t>
  </si>
  <si>
    <t>Maybank</t>
  </si>
  <si>
    <t>164061940677</t>
  </si>
  <si>
    <t>N</t>
  </si>
  <si>
    <t>Acct no partly obscured on scan (digits 6–7 read as ‘19’) — verify before payment.</t>
  </si>
  <si>
    <t>ON00028</t>
  </si>
  <si>
    <t>Tan Kui Thean</t>
  </si>
  <si>
    <t>164061854800</t>
  </si>
  <si>
    <t>Sheet notes ‘150 For OT’ beside the incentive.</t>
  </si>
  <si>
    <t>Ong Peir Ann</t>
  </si>
  <si>
    <t>5097798113</t>
  </si>
  <si>
    <t>Handwritten entry — hourly-paid.</t>
  </si>
  <si>
    <t>Soh Jia Mon</t>
  </si>
  <si>
    <t>5089470408</t>
  </si>
  <si>
    <t>Handwritten — name spelling to verify.</t>
  </si>
  <si>
    <t>Chee Wei Hong</t>
  </si>
  <si>
    <t>156094626580</t>
  </si>
  <si>
    <t>Ong Wai Loon</t>
  </si>
  <si>
    <t>5066418834</t>
  </si>
  <si>
    <t>Handwritten — could read ‘Loong’.</t>
  </si>
  <si>
    <t>Mohamad Hakim Hakimi</t>
  </si>
  <si>
    <t>7625991780</t>
  </si>
  <si>
    <t>Handwritten — last word could read ‘Hakimi’ or ‘Hakims’.</t>
  </si>
  <si>
    <t>TOTAL</t>
  </si>
  <si>
    <t>Legend</t>
  </si>
  <si>
    <t>Blue text = values transcribed from the scanned sheet (edit these).</t>
  </si>
  <si>
    <t>Black = calculated: OT Pay = OT Hour × OT Rate; Gross = Basic + Petrol + Incentive + Dishwash + OT Pay.</t>
  </si>
  <si>
    <t>Yellow fill = handwriting or obscured digits — verify against the original before paying.</t>
  </si>
  <si>
    <t>Orange fill = the totals highlighted on the original sheet.</t>
  </si>
  <si>
    <t>Part-timers had no EMP_ID / probation status on the sheet; their hours were recorded in the OT columns at flat hourly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</si>
</sst>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9"/>
      <color rgb="FF595959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0" fillId="0" borderId="0" xfId="0" applyFont="1"/>
    <xf numFmtId="0" fontId="9" fillId="0" borderId="0" xfId="0" applyFon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" fontId="6" fillId="0" borderId="1" xfId="0" applyNumberFormat="1" applyFont="1" applyBorder="1"/>
    <xf numFmtId="4" fontId="5" fillId="0" borderId="1" xfId="0" applyNumberFormat="1" applyFont="1" applyBorder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49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8" fillId="4" borderId="1" xfId="0" applyFont="1" applyFill="1" applyBorder="1"/>
    <xf numFmtId="4" fontId="8" fillId="4" borderId="1" xfId="0" applyNumberFormat="1" applyFont="1" applyFill="1" applyBorder="1"/>
    <xf numFmtId="0" fontId="8" fillId="5" borderId="1" xfId="0" applyFont="1" applyFill="1" applyBorder="1"/>
    <xf numFmtId="4" fontId="8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Normal="100" workbookViewId="0">
      <pane ySplit="4" topLeftCell="A5" activePane="bottomLeft" state="frozen"/>
      <selection pane="bottomLeft" activeCell="F14" sqref="F14"/>
    </sheetView>
  </sheetViews>
  <sheetFormatPr baseColWidth="10" defaultColWidth="8.6640625" defaultRowHeight="15" x14ac:dyDescent="0.2"/>
  <cols>
    <col min="1" max="1" width="10" customWidth="1"/>
    <col min="2" max="2" width="24" customWidth="1"/>
    <col min="3" max="3" width="12" customWidth="1"/>
    <col min="4" max="4" width="15" customWidth="1"/>
    <col min="5" max="5" width="10" customWidth="1"/>
    <col min="6" max="9" width="11" customWidth="1"/>
    <col min="10" max="10" width="12" customWidth="1"/>
    <col min="11" max="11" width="9" customWidth="1"/>
    <col min="12" max="12" width="10" customWidth="1"/>
    <col min="13" max="13" width="11" customWidth="1"/>
    <col min="14" max="14" width="46" customWidth="1"/>
  </cols>
  <sheetData>
    <row r="1" spans="1:14" ht="18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30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x14ac:dyDescent="0.2">
      <c r="A5" s="6" t="s">
        <v>16</v>
      </c>
      <c r="B5" s="6" t="s">
        <v>17</v>
      </c>
      <c r="C5" s="6" t="s">
        <v>18</v>
      </c>
      <c r="D5" s="7" t="s">
        <v>19</v>
      </c>
      <c r="E5" s="8" t="s">
        <v>20</v>
      </c>
      <c r="F5" s="9">
        <v>5000</v>
      </c>
      <c r="G5" s="9"/>
      <c r="H5" s="9"/>
      <c r="I5" s="9"/>
      <c r="J5" s="10">
        <f>SUM(F5:I5,M5)</f>
        <v>5000</v>
      </c>
      <c r="K5" s="11"/>
      <c r="L5" s="9"/>
      <c r="M5" s="10"/>
      <c r="N5" s="12"/>
    </row>
    <row r="6" spans="1:14" x14ac:dyDescent="0.2">
      <c r="A6" s="6" t="s">
        <v>21</v>
      </c>
      <c r="B6" s="6" t="s">
        <v>22</v>
      </c>
      <c r="C6" s="6" t="s">
        <v>23</v>
      </c>
      <c r="D6" s="7" t="s">
        <v>24</v>
      </c>
      <c r="E6" s="8" t="s">
        <v>20</v>
      </c>
      <c r="F6" s="9">
        <v>3000</v>
      </c>
      <c r="G6" s="9"/>
      <c r="H6" s="9">
        <v>150</v>
      </c>
      <c r="I6" s="9"/>
      <c r="J6" s="10">
        <f>SUM(F6:I6)</f>
        <v>3150</v>
      </c>
      <c r="K6" s="11">
        <v>28.5</v>
      </c>
      <c r="L6" s="9">
        <v>15</v>
      </c>
      <c r="M6" s="10">
        <f>IF(COUNT(K6:L6)&lt;2,"",K6*L6)</f>
        <v>427.5</v>
      </c>
      <c r="N6" s="12"/>
    </row>
    <row r="7" spans="1:14" ht="26" x14ac:dyDescent="0.2">
      <c r="A7" s="6" t="s">
        <v>25</v>
      </c>
      <c r="B7" s="6" t="s">
        <v>26</v>
      </c>
      <c r="C7" s="6" t="s">
        <v>27</v>
      </c>
      <c r="D7" s="13" t="s">
        <v>28</v>
      </c>
      <c r="E7" s="8" t="s">
        <v>29</v>
      </c>
      <c r="F7" s="9">
        <v>2400</v>
      </c>
      <c r="G7" s="9"/>
      <c r="H7" s="9">
        <v>150</v>
      </c>
      <c r="I7" s="9"/>
      <c r="J7" s="10">
        <f t="shared" ref="J7:J8" si="0">SUM(F7:I7)</f>
        <v>2550</v>
      </c>
      <c r="K7" s="11">
        <v>35</v>
      </c>
      <c r="L7" s="9">
        <v>15</v>
      </c>
      <c r="M7" s="10">
        <f>IF(COUNT(K7:L7)&lt;2,"",K7*L7)</f>
        <v>525</v>
      </c>
      <c r="N7" s="12" t="s">
        <v>30</v>
      </c>
    </row>
    <row r="8" spans="1:14" x14ac:dyDescent="0.2">
      <c r="A8" s="6" t="s">
        <v>31</v>
      </c>
      <c r="B8" s="6" t="s">
        <v>32</v>
      </c>
      <c r="C8" s="6" t="s">
        <v>27</v>
      </c>
      <c r="D8" s="7" t="s">
        <v>33</v>
      </c>
      <c r="E8" s="8" t="s">
        <v>29</v>
      </c>
      <c r="F8" s="9">
        <v>3200</v>
      </c>
      <c r="G8" s="9"/>
      <c r="H8" s="9">
        <v>150</v>
      </c>
      <c r="I8" s="9"/>
      <c r="J8" s="10">
        <f t="shared" si="0"/>
        <v>3350</v>
      </c>
      <c r="K8" s="11"/>
      <c r="L8" s="9"/>
      <c r="M8" s="10" t="str">
        <f t="shared" ref="M8:M13" si="1">IF(COUNT(K8:L8)&lt;2,"",K8*L8)</f>
        <v/>
      </c>
      <c r="N8" s="12" t="s">
        <v>34</v>
      </c>
    </row>
    <row r="9" spans="1:14" x14ac:dyDescent="0.2">
      <c r="A9" s="6"/>
      <c r="B9" s="6" t="s">
        <v>35</v>
      </c>
      <c r="C9" s="6" t="s">
        <v>23</v>
      </c>
      <c r="D9" s="7" t="s">
        <v>36</v>
      </c>
      <c r="E9" s="8"/>
      <c r="F9" s="9"/>
      <c r="G9" s="9"/>
      <c r="H9" s="9"/>
      <c r="I9" s="9"/>
      <c r="J9" s="10">
        <f t="shared" ref="J8:J13" si="2">SUM(F9:I9,M9)</f>
        <v>1312</v>
      </c>
      <c r="K9" s="11">
        <v>164</v>
      </c>
      <c r="L9" s="9">
        <v>8</v>
      </c>
      <c r="M9" s="10">
        <f t="shared" si="1"/>
        <v>1312</v>
      </c>
      <c r="N9" s="12" t="s">
        <v>37</v>
      </c>
    </row>
    <row r="10" spans="1:14" x14ac:dyDescent="0.2">
      <c r="A10" s="6"/>
      <c r="B10" s="14" t="s">
        <v>38</v>
      </c>
      <c r="C10" s="6" t="s">
        <v>23</v>
      </c>
      <c r="D10" s="7" t="s">
        <v>39</v>
      </c>
      <c r="E10" s="8"/>
      <c r="F10" s="9"/>
      <c r="G10" s="9"/>
      <c r="H10" s="9"/>
      <c r="I10" s="9"/>
      <c r="J10" s="10">
        <f t="shared" si="2"/>
        <v>756</v>
      </c>
      <c r="K10" s="11">
        <v>94.5</v>
      </c>
      <c r="L10" s="9">
        <v>8</v>
      </c>
      <c r="M10" s="10">
        <f t="shared" si="1"/>
        <v>756</v>
      </c>
      <c r="N10" s="12" t="s">
        <v>40</v>
      </c>
    </row>
    <row r="11" spans="1:14" x14ac:dyDescent="0.2">
      <c r="A11" s="6"/>
      <c r="B11" s="6" t="s">
        <v>41</v>
      </c>
      <c r="C11" s="6" t="s">
        <v>27</v>
      </c>
      <c r="D11" s="7" t="s">
        <v>42</v>
      </c>
      <c r="E11" s="8"/>
      <c r="F11" s="9"/>
      <c r="G11" s="9"/>
      <c r="H11" s="9"/>
      <c r="I11" s="9"/>
      <c r="J11" s="10">
        <f t="shared" si="2"/>
        <v>1960</v>
      </c>
      <c r="K11" s="11">
        <v>245</v>
      </c>
      <c r="L11" s="9">
        <v>8</v>
      </c>
      <c r="M11" s="10">
        <f t="shared" si="1"/>
        <v>1960</v>
      </c>
      <c r="N11" s="12" t="s">
        <v>37</v>
      </c>
    </row>
    <row r="12" spans="1:14" x14ac:dyDescent="0.2">
      <c r="A12" s="6"/>
      <c r="B12" s="14" t="s">
        <v>43</v>
      </c>
      <c r="C12" s="6" t="s">
        <v>23</v>
      </c>
      <c r="D12" s="7" t="s">
        <v>44</v>
      </c>
      <c r="E12" s="8"/>
      <c r="F12" s="9"/>
      <c r="G12" s="9"/>
      <c r="H12" s="9"/>
      <c r="I12" s="9"/>
      <c r="J12" s="10">
        <f t="shared" si="2"/>
        <v>360</v>
      </c>
      <c r="K12" s="11">
        <v>45</v>
      </c>
      <c r="L12" s="9">
        <v>8</v>
      </c>
      <c r="M12" s="10">
        <f t="shared" si="1"/>
        <v>360</v>
      </c>
      <c r="N12" s="12" t="s">
        <v>45</v>
      </c>
    </row>
    <row r="13" spans="1:14" x14ac:dyDescent="0.2">
      <c r="A13" s="6"/>
      <c r="B13" s="14" t="s">
        <v>46</v>
      </c>
      <c r="C13" s="6" t="s">
        <v>18</v>
      </c>
      <c r="D13" s="7" t="s">
        <v>47</v>
      </c>
      <c r="E13" s="8"/>
      <c r="F13" s="9">
        <v>2200</v>
      </c>
      <c r="G13" s="9"/>
      <c r="H13" s="9"/>
      <c r="I13" s="9"/>
      <c r="J13" s="10">
        <f t="shared" si="2"/>
        <v>2285</v>
      </c>
      <c r="K13" s="11">
        <v>8.5</v>
      </c>
      <c r="L13" s="9">
        <v>10</v>
      </c>
      <c r="M13" s="10">
        <f t="shared" si="1"/>
        <v>85</v>
      </c>
      <c r="N13" s="12" t="s">
        <v>48</v>
      </c>
    </row>
    <row r="14" spans="1:14" x14ac:dyDescent="0.2">
      <c r="A14" s="15"/>
      <c r="B14" s="15" t="s">
        <v>49</v>
      </c>
      <c r="C14" s="15"/>
      <c r="D14" s="15"/>
      <c r="E14" s="15"/>
      <c r="F14" s="16">
        <f t="shared" ref="F14:J14" si="3">SUM(F5:F13)</f>
        <v>15800</v>
      </c>
      <c r="G14" s="16">
        <f t="shared" si="3"/>
        <v>0</v>
      </c>
      <c r="H14" s="16">
        <f t="shared" si="3"/>
        <v>450</v>
      </c>
      <c r="I14" s="16">
        <f t="shared" si="3"/>
        <v>0</v>
      </c>
      <c r="J14" s="16">
        <f t="shared" si="3"/>
        <v>20723</v>
      </c>
      <c r="K14" s="17">
        <f>SUM(K5:K13)</f>
        <v>620.5</v>
      </c>
      <c r="L14" s="15"/>
      <c r="M14" s="18">
        <f>SUM(M5:M13)</f>
        <v>5425.5</v>
      </c>
      <c r="N14" s="15"/>
    </row>
    <row r="16" spans="1:14" x14ac:dyDescent="0.2">
      <c r="A16" s="2" t="s">
        <v>50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1" t="s">
        <v>51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 t="s">
        <v>52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 t="s">
        <v>53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 t="s">
        <v>54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 t="s">
        <v>55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8">
    <mergeCell ref="A19:N19"/>
    <mergeCell ref="A20:N20"/>
    <mergeCell ref="A21:N21"/>
    <mergeCell ref="A1:N1"/>
    <mergeCell ref="A2:N2"/>
    <mergeCell ref="A16:N16"/>
    <mergeCell ref="A17:N17"/>
    <mergeCell ref="A18:N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CHEONG HOONG JUN</cp:lastModifiedBy>
  <cp:revision>0</cp:revision>
  <dcterms:created xsi:type="dcterms:W3CDTF">2026-08-02T16:31:33Z</dcterms:created>
  <dcterms:modified xsi:type="dcterms:W3CDTF">2026-08-02T16:42:16Z</dcterms:modified>
  <dc:language>en-US</dc:language>
</cp:coreProperties>
</file>